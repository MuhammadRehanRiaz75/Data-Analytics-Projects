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ata Analyst Bootcamp\Excel Course\"/>
    </mc:Choice>
  </mc:AlternateContent>
  <xr:revisionPtr revIDLastSave="0" documentId="8_{D4897272-E15F-4EDC-868A-F7ADF5F0FB6B}"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Dashboard" sheetId="2" r:id="rId2"/>
    <sheet name="Pivot_Tables" sheetId="3" r:id="rId3"/>
    <sheet name="Working_Sheet" sheetId="4" r:id="rId4"/>
  </sheets>
  <definedNames>
    <definedName name="_xlnm._FilterDatabase" localSheetId="0" hidden="1">bike_buyers!$A$1:$M$1001</definedName>
    <definedName name="_xlnm._FilterDatabase" localSheetId="3" hidden="1">Working_Sheet!$A$1:$N$1001</definedName>
    <definedName name="Slicer_Education">#N/A</definedName>
    <definedName name="Slicer_Marital_Status">#N/A</definedName>
    <definedName name="Slicer_Region">#N/A</definedName>
  </definedNames>
  <calcPr calcId="191029"/>
  <pivotCaches>
    <pivotCache cacheId="4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<sst xmlns="http://schemas.openxmlformats.org/spreadsheetml/2006/main" count="16267" uniqueCount="51">
  <si>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</si>
  <si>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</si>
  <si>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</si>
  <si>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</si>
  <si>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</si>
  <si>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</si>
  <si>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</si>
  <si>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</si>
  <si>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</si>
  <si>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</si>
  <si>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</si>
  <si>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</si>
  <si>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</si>
  <si>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</si>
  <si>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</si>
  <si>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</si>
  <si>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</si>
  <si>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</si>
  <si>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</si>
  <si>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</si>
  <si>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</si>
  <si>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</si>
  <si>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</si>
  <si>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</si>
  <si>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</si>
  <si>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</si>
  <si>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</si>
  <si>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</si>
  <si>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</si>
  <si>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</si>
  <si>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</si>
  <si>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</si>
  <si>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</si>
  <si>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</si>
  <si>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</si>
  <si>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</si>
  <si>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</si>
  <si>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</si>
  <si>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</si>
  <si>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</si>
  <si>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Age_Bracket</t>
  </si>
  <si>
    <t>Adolescent</t>
  </si>
  <si>
    <t>Row Labels</t>
  </si>
  <si>
    <t>Grand Total</t>
  </si>
  <si>
    <t>Column Labels</t>
  </si>
  <si>
    <t>Average of Income</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</si>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</sst>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Sales.xlsx]Pivot_Tables!PivotTable1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Purchased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Pivot_Tables!$B$1:$B$2</c:f>
              <c:strCache>
                <c:ptCount val="1"/>
                <c:pt idx="0">
                  <c:v>No</c:v>
                </c:pt>
              </c:strCache>
            </c:strRef>
          </c:tx>
          <c:spPr>
            <a:solidFill>
              <a:schemeClr val="accent1"/>
            </a:solidFill>
            <a:ln>
              <a:noFill/>
            </a:ln>
            <a:effectLst/>
          </c:spPr>
          <c:invertIfNegative val="0"/>
          <c:cat>
            <c:strRef>
              <c:f>Pivot_Tables!$A$3:$A$5</c:f>
              <c:strCache>
                <c:ptCount val="2"/>
                <c:pt idx="0">
                  <c:v>Female</c:v>
                </c:pt>
                <c:pt idx="1">
                  <c:v>Male</c:v>
                </c:pt>
              </c:strCache>
            </c:strRef>
          </c:cat>
          <c:val>
            <c:numRef>
              <c:f>Pivot_Tables!$B$3:$B$5</c:f>
              <c:numCache>
                <c:formatCode>"$"#,##0</c:formatCode>
                <c:ptCount val="2"/>
                <c:pt idx="0">
                  <c:v>53440</c:v>
                </c:pt>
                <c:pt idx="1">
                  <c:v>56208.178438661707</c:v>
                </c:pt>
              </c:numCache>
            </c:numRef>
          </c:val>
          <c:extLst>
            <c:ext xmlns:c16="http://schemas.microsoft.com/office/drawing/2014/chart" uri="{C3380CC4-5D6E-409C-BE32-E72D297353CC}">
              <c16:uniqueId val="{00000000-D84F-4B30-AEEF-708723E3186C}"/>
            </c:ext>
          </c:extLst>
        </c:ser>
        <c:ser>
          <c:idx val="1"/>
          <c:order val="1"/>
          <c:tx>
            <c:strRef>
              <c:f>Pivot_Tables!$C$1:$C$2</c:f>
              <c:strCache>
                <c:ptCount val="1"/>
                <c:pt idx="0">
                  <c:v>Yes</c:v>
                </c:pt>
              </c:strCache>
            </c:strRef>
          </c:tx>
          <c:spPr>
            <a:solidFill>
              <a:schemeClr val="accent2"/>
            </a:solidFill>
            <a:ln>
              <a:noFill/>
            </a:ln>
            <a:effectLst/>
          </c:spPr>
          <c:invertIfNegative val="0"/>
          <c:cat>
            <c:strRef>
              <c:f>Pivot_Tables!$A$3:$A$5</c:f>
              <c:strCache>
                <c:ptCount val="2"/>
                <c:pt idx="0">
                  <c:v>Female</c:v>
                </c:pt>
                <c:pt idx="1">
                  <c:v>Male</c:v>
                </c:pt>
              </c:strCache>
            </c:strRef>
          </c:cat>
          <c:val>
            <c:numRef>
              <c:f>Pivot_Tables!$C$3:$C$5</c:f>
              <c:numCache>
                <c:formatCode>"$"#,##0</c:formatCode>
                <c:ptCount val="2"/>
                <c:pt idx="0">
                  <c:v>55774.058577405856</c:v>
                </c:pt>
                <c:pt idx="1">
                  <c:v>60123.966942148763</c:v>
                </c:pt>
              </c:numCache>
            </c:numRef>
          </c:val>
          <c:extLst>
            <c:ext xmlns:c16="http://schemas.microsoft.com/office/drawing/2014/chart" uri="{C3380CC4-5D6E-409C-BE32-E72D297353CC}">
              <c16:uniqueId val="{00000001-D84F-4B30-AEEF-708723E3186C}"/>
            </c:ext>
          </c:extLst>
        </c:ser>
        <c:dLbls>
          <c:showLegendKey val="0"/>
          <c:showVal val="0"/>
          <c:showCatName val="0"/>
          <c:showSerName val="0"/>
          <c:showPercent val="0"/>
          <c:showBubbleSize val="0"/>
        </c:dLbls>
        <c:gapWidth val="219"/>
        <c:overlap val="-27"/>
        <c:axId val="1531077103"/>
        <c:axId val="1531076143"/>
      </c:barChart>
      <c:catAx>
        <c:axId val="1531077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076143"/>
        <c:crosses val="autoZero"/>
        <c:auto val="1"/>
        <c:lblAlgn val="ctr"/>
        <c:lblOffset val="100"/>
        <c:noMultiLvlLbl val="0"/>
      </c:catAx>
      <c:valAx>
        <c:axId val="1531076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077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Sales.xlsx]Pivot_Tables!PivotTable2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Purchased By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Pivot_Tables!$B$18:$B$19</c:f>
              <c:strCache>
                <c:ptCount val="1"/>
                <c:pt idx="0">
                  <c:v>No</c:v>
                </c:pt>
              </c:strCache>
            </c:strRef>
          </c:tx>
          <c:spPr>
            <a:ln w="28575" cap="rnd">
              <a:solidFill>
                <a:schemeClr val="accent1"/>
              </a:solidFill>
              <a:round/>
            </a:ln>
            <a:effectLst/>
          </c:spPr>
          <c:marker>
            <c:symbol val="none"/>
          </c:marker>
          <c:cat>
            <c:strRef>
              <c:f>Pivot_Tables!$A$20:$A$25</c:f>
              <c:strCache>
                <c:ptCount val="5"/>
                <c:pt idx="0">
                  <c:v>0-1 Miles</c:v>
                </c:pt>
                <c:pt idx="1">
                  <c:v>1-2 Miles</c:v>
                </c:pt>
                <c:pt idx="2">
                  <c:v>2-5 Miles</c:v>
                </c:pt>
                <c:pt idx="3">
                  <c:v>5-10 Miles</c:v>
                </c:pt>
                <c:pt idx="4">
                  <c:v>More than 10 miles</c:v>
                </c:pt>
              </c:strCache>
            </c:strRef>
          </c:cat>
          <c:val>
            <c:numRef>
              <c:f>Pivot_Tables!$B$20:$B$25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473-4365-A7C9-F50852D9966C}"/>
            </c:ext>
          </c:extLst>
        </c:ser>
        <c:ser>
          <c:idx val="1"/>
          <c:order val="1"/>
          <c:tx>
            <c:strRef>
              <c:f>Pivot_Tables!$C$18:$C$19</c:f>
              <c:strCache>
                <c:ptCount val="1"/>
                <c:pt idx="0">
                  <c:v>Yes</c:v>
                </c:pt>
              </c:strCache>
            </c:strRef>
          </c:tx>
          <c:spPr>
            <a:ln w="28575" cap="rnd">
              <a:solidFill>
                <a:schemeClr val="accent2"/>
              </a:solidFill>
              <a:round/>
            </a:ln>
            <a:effectLst/>
          </c:spPr>
          <c:marker>
            <c:symbol val="none"/>
          </c:marker>
          <c:cat>
            <c:strRef>
              <c:f>Pivot_Tables!$A$20:$A$25</c:f>
              <c:strCache>
                <c:ptCount val="5"/>
                <c:pt idx="0">
                  <c:v>0-1 Miles</c:v>
                </c:pt>
                <c:pt idx="1">
                  <c:v>1-2 Miles</c:v>
                </c:pt>
                <c:pt idx="2">
                  <c:v>2-5 Miles</c:v>
                </c:pt>
                <c:pt idx="3">
                  <c:v>5-10 Miles</c:v>
                </c:pt>
                <c:pt idx="4">
                  <c:v>More than 10 miles</c:v>
                </c:pt>
              </c:strCache>
            </c:strRef>
          </c:cat>
          <c:val>
            <c:numRef>
              <c:f>Pivot_Tables!$C$20:$C$25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473-4365-A7C9-F50852D9966C}"/>
            </c:ext>
          </c:extLst>
        </c:ser>
        <c:dLbls>
          <c:showLegendKey val="0"/>
          <c:showVal val="0"/>
          <c:showCatName val="0"/>
          <c:showSerName val="0"/>
          <c:showPercent val="0"/>
          <c:showBubbleSize val="0"/>
        </c:dLbls>
        <c:smooth val="0"/>
        <c:axId val="1531095343"/>
        <c:axId val="1531095823"/>
      </c:lineChart>
      <c:catAx>
        <c:axId val="1531095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095823"/>
        <c:crosses val="autoZero"/>
        <c:auto val="1"/>
        <c:lblAlgn val="ctr"/>
        <c:lblOffset val="100"/>
        <c:noMultiLvlLbl val="0"/>
      </c:catAx>
      <c:valAx>
        <c:axId val="1531095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Bikes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09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Sales.xlsx]Pivot_Tables!PivotTable3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Wise Bikes Purchased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Pivot_Tables!$A$35:$A$38</c:f>
              <c:strCache>
                <c:ptCount val="3"/>
                <c:pt idx="0">
                  <c:v>Adolescent</c:v>
                </c:pt>
                <c:pt idx="1">
                  <c:v>Middle Age</c:v>
                </c:pt>
                <c:pt idx="2">
                  <c:v>Old</c:v>
                </c:pt>
              </c:strCache>
            </c:strRef>
          </c:cat>
          <c:val>
            <c:numRef>
              <c:f>Pivot_Tables!$B$35:$B$38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10E-4090-B8B9-169CEC20F2BE}"/>
            </c:ext>
          </c:extLst>
        </c:ser>
        <c:ser>
          <c:idx val="1"/>
          <c:order val="1"/>
          <c:tx>
            <c:strRef>
              <c:f>Pivot_Tables!$C$33:$C$34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Pivot_Tables!$A$35:$A$38</c:f>
              <c:strCache>
                <c:ptCount val="3"/>
                <c:pt idx="0">
                  <c:v>Adolescent</c:v>
                </c:pt>
                <c:pt idx="1">
                  <c:v>Middle Age</c:v>
                </c:pt>
                <c:pt idx="2">
                  <c:v>Old</c:v>
                </c:pt>
              </c:strCache>
            </c:strRef>
          </c:cat>
          <c:val>
            <c:numRef>
              <c:f>Pivot_Tables!$C$35:$C$38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10E-4090-B8B9-169CEC20F2BE}"/>
            </c:ext>
          </c:extLst>
        </c:ser>
        <c:dLbls>
          <c:showLegendKey val="0"/>
          <c:showVal val="0"/>
          <c:showCatName val="0"/>
          <c:showSerName val="0"/>
          <c:showPercent val="0"/>
          <c:showBubbleSize val="0"/>
        </c:dLbls>
        <c:marker val="1"/>
        <c:smooth val="0"/>
        <c:axId val="1527010447"/>
        <c:axId val="1527012847"/>
      </c:lineChart>
      <c:catAx>
        <c:axId val="152701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012847"/>
        <c:crosses val="autoZero"/>
        <c:auto val="1"/>
        <c:lblAlgn val="ctr"/>
        <c:lblOffset val="100"/>
        <c:noMultiLvlLbl val="0"/>
      </c:catAx>
      <c:valAx>
        <c:axId val="152701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01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Sales.xlsx]Pivot_Tables!PivotTable1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Purchased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Pivot_Tables!$B$1:$B$2</c:f>
              <c:strCache>
                <c:ptCount val="1"/>
                <c:pt idx="0">
                  <c:v>No</c:v>
                </c:pt>
              </c:strCache>
            </c:strRef>
          </c:tx>
          <c:spPr>
            <a:solidFill>
              <a:schemeClr val="accent1"/>
            </a:solidFill>
            <a:ln>
              <a:noFill/>
            </a:ln>
            <a:effectLst/>
          </c:spPr>
          <c:invertIfNegative val="0"/>
          <c:cat>
            <c:strRef>
              <c:f>Pivot_Tables!$A$3:$A$5</c:f>
              <c:strCache>
                <c:ptCount val="2"/>
                <c:pt idx="0">
                  <c:v>Female</c:v>
                </c:pt>
                <c:pt idx="1">
                  <c:v>Male</c:v>
                </c:pt>
              </c:strCache>
            </c:strRef>
          </c:cat>
          <c:val>
            <c:numRef>
              <c:f>Pivot_Tables!$B$3:$B$5</c:f>
              <c:numCache>
                <c:formatCode>"$"#,##0</c:formatCode>
                <c:ptCount val="2"/>
                <c:pt idx="0">
                  <c:v>53440</c:v>
                </c:pt>
                <c:pt idx="1">
                  <c:v>56208.178438661707</c:v>
                </c:pt>
              </c:numCache>
            </c:numRef>
          </c:val>
          <c:extLst>
            <c:ext xmlns:c16="http://schemas.microsoft.com/office/drawing/2014/chart" uri="{C3380CC4-5D6E-409C-BE32-E72D297353CC}">
              <c16:uniqueId val="{00000000-2C79-478B-BBE5-496B5964D79E}"/>
            </c:ext>
          </c:extLst>
        </c:ser>
        <c:ser>
          <c:idx val="1"/>
          <c:order val="1"/>
          <c:tx>
            <c:strRef>
              <c:f>Pivot_Tables!$C$1:$C$2</c:f>
              <c:strCache>
                <c:ptCount val="1"/>
                <c:pt idx="0">
                  <c:v>Yes</c:v>
                </c:pt>
              </c:strCache>
            </c:strRef>
          </c:tx>
          <c:spPr>
            <a:solidFill>
              <a:schemeClr val="accent2"/>
            </a:solidFill>
            <a:ln>
              <a:noFill/>
            </a:ln>
            <a:effectLst/>
          </c:spPr>
          <c:invertIfNegative val="0"/>
          <c:cat>
            <c:strRef>
              <c:f>Pivot_Tables!$A$3:$A$5</c:f>
              <c:strCache>
                <c:ptCount val="2"/>
                <c:pt idx="0">
                  <c:v>Female</c:v>
                </c:pt>
                <c:pt idx="1">
                  <c:v>Male</c:v>
                </c:pt>
              </c:strCache>
            </c:strRef>
          </c:cat>
          <c:val>
            <c:numRef>
              <c:f>Pivot_Tables!$C$3:$C$5</c:f>
              <c:numCache>
                <c:formatCode>"$"#,##0</c:formatCode>
                <c:ptCount val="2"/>
                <c:pt idx="0">
                  <c:v>55774.058577405856</c:v>
                </c:pt>
                <c:pt idx="1">
                  <c:v>60123.966942148763</c:v>
                </c:pt>
              </c:numCache>
            </c:numRef>
          </c:val>
          <c:extLst>
            <c:ext xmlns:c16="http://schemas.microsoft.com/office/drawing/2014/chart" uri="{C3380CC4-5D6E-409C-BE32-E72D297353CC}">
              <c16:uniqueId val="{00000001-2C79-478B-BBE5-496B5964D79E}"/>
            </c:ext>
          </c:extLst>
        </c:ser>
        <c:dLbls>
          <c:showLegendKey val="0"/>
          <c:showVal val="0"/>
          <c:showCatName val="0"/>
          <c:showSerName val="0"/>
          <c:showPercent val="0"/>
          <c:showBubbleSize val="0"/>
        </c:dLbls>
        <c:gapWidth val="219"/>
        <c:overlap val="-27"/>
        <c:axId val="1531077103"/>
        <c:axId val="1531076143"/>
      </c:barChart>
      <c:catAx>
        <c:axId val="1531077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076143"/>
        <c:crosses val="autoZero"/>
        <c:auto val="1"/>
        <c:lblAlgn val="ctr"/>
        <c:lblOffset val="100"/>
        <c:noMultiLvlLbl val="0"/>
      </c:catAx>
      <c:valAx>
        <c:axId val="1531076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077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Sales.xlsx]Pivot_Tables!PivotTable2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Purchased By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Pivot_Tables!$B$18:$B$19</c:f>
              <c:strCache>
                <c:ptCount val="1"/>
                <c:pt idx="0">
                  <c:v>No</c:v>
                </c:pt>
              </c:strCache>
            </c:strRef>
          </c:tx>
          <c:spPr>
            <a:ln w="28575" cap="rnd">
              <a:solidFill>
                <a:schemeClr val="accent1"/>
              </a:solidFill>
              <a:round/>
            </a:ln>
            <a:effectLst/>
          </c:spPr>
          <c:marker>
            <c:symbol val="none"/>
          </c:marker>
          <c:cat>
            <c:strRef>
              <c:f>Pivot_Tables!$A$20:$A$25</c:f>
              <c:strCache>
                <c:ptCount val="5"/>
                <c:pt idx="0">
                  <c:v>0-1 Miles</c:v>
                </c:pt>
                <c:pt idx="1">
                  <c:v>1-2 Miles</c:v>
                </c:pt>
                <c:pt idx="2">
                  <c:v>2-5 Miles</c:v>
                </c:pt>
                <c:pt idx="3">
                  <c:v>5-10 Miles</c:v>
                </c:pt>
                <c:pt idx="4">
                  <c:v>More than 10 miles</c:v>
                </c:pt>
              </c:strCache>
            </c:strRef>
          </c:cat>
          <c:val>
            <c:numRef>
              <c:f>Pivot_Tables!$B$20:$B$25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C4F-44AB-96DD-8DAADB5D4707}"/>
            </c:ext>
          </c:extLst>
        </c:ser>
        <c:ser>
          <c:idx val="1"/>
          <c:order val="1"/>
          <c:tx>
            <c:strRef>
              <c:f>Pivot_Tables!$C$18:$C$19</c:f>
              <c:strCache>
                <c:ptCount val="1"/>
                <c:pt idx="0">
                  <c:v>Yes</c:v>
                </c:pt>
              </c:strCache>
            </c:strRef>
          </c:tx>
          <c:spPr>
            <a:ln w="28575" cap="rnd">
              <a:solidFill>
                <a:schemeClr val="accent2"/>
              </a:solidFill>
              <a:round/>
            </a:ln>
            <a:effectLst/>
          </c:spPr>
          <c:marker>
            <c:symbol val="none"/>
          </c:marker>
          <c:cat>
            <c:strRef>
              <c:f>Pivot_Tables!$A$20:$A$25</c:f>
              <c:strCache>
                <c:ptCount val="5"/>
                <c:pt idx="0">
                  <c:v>0-1 Miles</c:v>
                </c:pt>
                <c:pt idx="1">
                  <c:v>1-2 Miles</c:v>
                </c:pt>
                <c:pt idx="2">
                  <c:v>2-5 Miles</c:v>
                </c:pt>
                <c:pt idx="3">
                  <c:v>5-10 Miles</c:v>
                </c:pt>
                <c:pt idx="4">
                  <c:v>More than 10 miles</c:v>
                </c:pt>
              </c:strCache>
            </c:strRef>
          </c:cat>
          <c:val>
            <c:numRef>
              <c:f>Pivot_Tables!$C$20:$C$25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C4F-44AB-96DD-8DAADB5D4707}"/>
            </c:ext>
          </c:extLst>
        </c:ser>
        <c:dLbls>
          <c:showLegendKey val="0"/>
          <c:showVal val="0"/>
          <c:showCatName val="0"/>
          <c:showSerName val="0"/>
          <c:showPercent val="0"/>
          <c:showBubbleSize val="0"/>
        </c:dLbls>
        <c:smooth val="0"/>
        <c:axId val="1531095343"/>
        <c:axId val="1531095823"/>
      </c:lineChart>
      <c:catAx>
        <c:axId val="1531095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095823"/>
        <c:crosses val="autoZero"/>
        <c:auto val="1"/>
        <c:lblAlgn val="ctr"/>
        <c:lblOffset val="100"/>
        <c:noMultiLvlLbl val="0"/>
      </c:catAx>
      <c:valAx>
        <c:axId val="1531095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Bikes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09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Sales.xlsx]Pivot_Tables!PivotTable3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Wise Bikes Purchased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Pivot_Tables!$A$35:$A$38</c:f>
              <c:strCache>
                <c:ptCount val="3"/>
                <c:pt idx="0">
                  <c:v>Adolescent</c:v>
                </c:pt>
                <c:pt idx="1">
                  <c:v>Middle Age</c:v>
                </c:pt>
                <c:pt idx="2">
                  <c:v>Old</c:v>
                </c:pt>
              </c:strCache>
            </c:strRef>
          </c:cat>
          <c:val>
            <c:numRef>
              <c:f>Pivot_Tables!$B$35:$B$38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570-4498-9838-E31B2394222F}"/>
            </c:ext>
          </c:extLst>
        </c:ser>
        <c:ser>
          <c:idx val="1"/>
          <c:order val="1"/>
          <c:tx>
            <c:strRef>
              <c:f>Pivot_Tables!$C$33:$C$34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Pivot_Tables!$A$35:$A$38</c:f>
              <c:strCache>
                <c:ptCount val="3"/>
                <c:pt idx="0">
                  <c:v>Adolescent</c:v>
                </c:pt>
                <c:pt idx="1">
                  <c:v>Middle Age</c:v>
                </c:pt>
                <c:pt idx="2">
                  <c:v>Old</c:v>
                </c:pt>
              </c:strCache>
            </c:strRef>
          </c:cat>
          <c:val>
            <c:numRef>
              <c:f>Pivot_Tables!$C$35:$C$38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570-4498-9838-E31B2394222F}"/>
            </c:ext>
          </c:extLst>
        </c:ser>
        <c:dLbls>
          <c:showLegendKey val="0"/>
          <c:showVal val="0"/>
          <c:showCatName val="0"/>
          <c:showSerName val="0"/>
          <c:showPercent val="0"/>
          <c:showBubbleSize val="0"/>
        </c:dLbls>
        <c:marker val="1"/>
        <c:smooth val="0"/>
        <c:axId val="1527010447"/>
        <c:axId val="1527012847"/>
      </c:lineChart>
      <c:catAx>
        <c:axId val="152701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012847"/>
        <c:crosses val="autoZero"/>
        <c:auto val="1"/>
        <c:lblAlgn val="ctr"/>
        <c:lblOffset val="100"/>
        <c:noMultiLvlLbl val="0"/>
      </c:catAx>
      <c:valAx>
        <c:axId val="152701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01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244474</xdr:colOff>
      <xdr:row>5</xdr:row>
      <xdr:rowOff>23812</xdr:rowOff>
    </xdr:from>
    <xdr:to>
      <xdr:col>10</xdr:col>
      <xdr:colOff>549275</xdr:colOff>
      <xdr:row>20</xdr:row>
      <xdr:rowOff>4763</xdr:rowOff>
    </xdr:to>
    <xdr:graphicFrame macro="">
      <xdr:nvGraphicFramePr>
        <xdr:cNvPr id="2" name="Chart 1">
          <a:extLst>
            <a:ext uri="{FF2B5EF4-FFF2-40B4-BE49-F238E27FC236}">
              <a16:creationId xmlns:a16="http://schemas.microsoft.com/office/drawing/2014/main" id="{F17E6652-5430-4FED-935F-A7A3FC679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577145</xdr:colOff>
      <xdr:row>5</xdr:row>
      <xdr:rowOff>23812</xdr:rowOff>
    </xdr:from>
    <xdr:to>
      <xdr:col>16</xdr:col>
      <xdr:colOff>1517650</xdr:colOff>
      <xdr:row>20</xdr:row>
      <xdr:rowOff>6832</xdr:rowOff>
    </xdr:to>
    <xdr:graphicFrame macro="">
      <xdr:nvGraphicFramePr>
        <xdr:cNvPr id="3" name="Chart 2">
          <a:extLst>
            <a:ext uri="{FF2B5EF4-FFF2-40B4-BE49-F238E27FC236}">
              <a16:creationId xmlns:a16="http://schemas.microsoft.com/office/drawing/2014/main" id="{A6F52DE2-6FED-4C51-8B81-ED1C4424C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102304</xdr:colOff>
      <xdr:row>20</xdr:row>
      <xdr:rowOff>28223</xdr:rowOff>
    </xdr:from>
    <xdr:to>
      <xdr:col>14</xdr:col>
      <xdr:colOff>426860</xdr:colOff>
      <xdr:row>35</xdr:row>
      <xdr:rowOff>19755</xdr:rowOff>
    </xdr:to>
    <xdr:graphicFrame macro="">
      <xdr:nvGraphicFramePr>
        <xdr:cNvPr id="4" name="Chart 3">
          <a:extLst>
            <a:ext uri="{FF2B5EF4-FFF2-40B4-BE49-F238E27FC236}">
              <a16:creationId xmlns:a16="http://schemas.microsoft.com/office/drawing/2014/main" id="{3EC8E06C-C7D5-4A54-944D-1E6A315C2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165100</xdr:colOff>
      <xdr:row>5</xdr:row>
      <xdr:rowOff>23812</xdr:rowOff>
    </xdr:from>
    <xdr:to>
      <xdr:col>3</xdr:col>
      <xdr:colOff>160337</xdr:colOff>
      <xdr:row>10</xdr:row>
      <xdr:rowOff>53975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AD15E79-88F3-3B28-96D0-D19F10CD5C6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65100" y="930955"/>
              <a:ext cx="1818594" cy="9373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169863</xdr:colOff>
      <xdr:row>10</xdr:row>
      <xdr:rowOff>125413</xdr:rowOff>
    </xdr:from>
    <xdr:to>
      <xdr:col>3</xdr:col>
      <xdr:colOff>165100</xdr:colOff>
      <xdr:row>20</xdr:row>
      <xdr:rowOff>23813</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6EEF98A3-124C-F8FA-A1B3-5AD10921150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69863" y="1939699"/>
              <a:ext cx="1818594" cy="1712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161925</xdr:colOff>
      <xdr:row>20</xdr:row>
      <xdr:rowOff>157162</xdr:rowOff>
    </xdr:from>
    <xdr:to>
      <xdr:col>3</xdr:col>
      <xdr:colOff>157162</xdr:colOff>
      <xdr:row>27</xdr:row>
      <xdr:rowOff>111125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B59F26B-9D67-E2D0-ABAE-BBABB02ECAA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1925" y="3785733"/>
              <a:ext cx="1818594" cy="1223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342900</xdr:colOff>
      <xdr:row>0</xdr:row>
      <xdr:rowOff>9525</xdr:rowOff>
    </xdr:from>
    <xdr:to>
      <xdr:col>12</xdr:col>
      <xdr:colOff>38100</xdr:colOff>
      <xdr:row>14</xdr:row>
      <xdr:rowOff>174625</xdr:rowOff>
    </xdr:to>
    <xdr:graphicFrame macro="">
      <xdr:nvGraphicFramePr>
        <xdr:cNvPr id="2" name="Chart 1">
          <a:extLst>
            <a:ext uri="{FF2B5EF4-FFF2-40B4-BE49-F238E27FC236}">
              <a16:creationId xmlns:a16="http://schemas.microsoft.com/office/drawing/2014/main" id="{4A0C323E-DD8A-558B-BF7D-5362C5AE6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133350</xdr:colOff>
      <xdr:row>16</xdr:row>
      <xdr:rowOff>85725</xdr:rowOff>
    </xdr:from>
    <xdr:to>
      <xdr:col>11</xdr:col>
      <xdr:colOff>438150</xdr:colOff>
      <xdr:row>31</xdr:row>
      <xdr:rowOff>66675</xdr:rowOff>
    </xdr:to>
    <xdr:graphicFrame macro="">
      <xdr:nvGraphicFramePr>
        <xdr:cNvPr id="3" name="Chart 2">
          <a:extLst>
            <a:ext uri="{FF2B5EF4-FFF2-40B4-BE49-F238E27FC236}">
              <a16:creationId xmlns:a16="http://schemas.microsoft.com/office/drawing/2014/main" id="{0694ADF2-2C24-97EC-CDE2-6F3187B9E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139700</xdr:colOff>
      <xdr:row>32</xdr:row>
      <xdr:rowOff>28575</xdr:rowOff>
    </xdr:from>
    <xdr:to>
      <xdr:col>11</xdr:col>
      <xdr:colOff>444500</xdr:colOff>
      <xdr:row>47</xdr:row>
      <xdr:rowOff>9525</xdr:rowOff>
    </xdr:to>
    <xdr:graphicFrame macro="">
      <xdr:nvGraphicFramePr>
        <xdr:cNvPr id="4" name="Chart 3">
          <a:extLst>
            <a:ext uri="{FF2B5EF4-FFF2-40B4-BE49-F238E27FC236}">
              <a16:creationId xmlns:a16="http://schemas.microsoft.com/office/drawing/2014/main" id="{D526F7F6-A345-1657-B9B5-F85E52656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REHAN RIAZ" refreshedDate="46160.06054953704" createdVersion="8" refreshedVersion="8" minRefreshableVersion="3" recordCount="1000" xr:uid="{8DC1C255-955F-4D88-9751-4D5E5C582E84}">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_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026755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A002BF-399B-4AE0-949F-3BAF68FE1600}" name="PivotTable3"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D38"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E8EB05-084A-4C1F-AE09-D752CAB39F95}" name="PivotTable2"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D25"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467C97-AD2F-4756-9A4C-DEE22029C18C}" name="PivotTable1"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34">
      <pivotArea collapsedLevelsAreSubtotals="1" fieldPosition="0">
        <references count="2">
          <reference field="2" count="1">
            <x v="0"/>
          </reference>
          <reference field="13" count="1" selected="0">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73FDD20-8F04-46EA-B3E7-3D33F0893541}" sourceName="Marital Status">
  <pivotTables>
    <pivotTable tabId="3" name="PivotTable1"/>
    <pivotTable tabId="3" name="PivotTable2"/>
    <pivotTable tabId="3" name="PivotTable3"/>
  </pivotTables>
  <data>
    <tabular pivotCacheId="30267556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C4757EE-CDA0-4AE8-B410-274F2BAC1F00}" sourceName="Education">
  <pivotTables>
    <pivotTable tabId="3" name="PivotTable1"/>
    <pivotTable tabId="3" name="PivotTable2"/>
    <pivotTable tabId="3" name="PivotTable3"/>
  </pivotTables>
  <data>
    <tabular pivotCacheId="30267556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B94825-7A08-41A2-88A8-6CE7F8C80DB6}" sourceName="Region">
  <pivotTables>
    <pivotTable tabId="3" name="PivotTable1"/>
    <pivotTable tabId="3" name="PivotTable2"/>
    <pivotTable tabId="3" name="PivotTable3"/>
  </pivotTables>
  <data>
    <tabular pivotCacheId="30267556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772BF9D-0104-4729-A517-68A15DDE0060}" cache="Slicer_Marital_Status" caption="Marital Status" rowHeight="241300"/>
  <slicer name="Education" xr10:uid="{28B5A7F0-9DAB-4132-9D24-CF5C2FE81F01}" cache="Slicer_Education" caption="Education" rowHeight="241300"/>
  <slicer name="Region" xr10:uid="{44AE3DC7-A32D-4B4E-8978-70A05E98D902}"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4" workbookViewId="0">
      <selection activeCell="B1" sqref="B1"/>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939A9-1A2C-4FF3-8F38-9C87B8C96C39}">
  <dimension ref="A1:Q5"/>
  <sheetViews>
    <sheetView showGridLines="0" zoomScale="70" zoomScaleNormal="70" workbookViewId="0">
      <selection activeCell="S21" sqref="S21"/>
    </sheetView>
  </sheetViews>
  <sheetFormatPr defaultRowHeight="14.5" x14ac:dyDescent="0.35"/>
  <cols>
    <col min="17" max="17" width="21.90625" customWidth="1"/>
  </cols>
  <sheetData>
    <row r="1" spans="1:17" x14ac:dyDescent="0.35">
      <c r="A1" s="7" t="s">
        <v>50</v>
      </c>
      <c r="B1" s="8"/>
      <c r="C1" s="8"/>
      <c r="D1" s="8"/>
      <c r="E1" s="8"/>
      <c r="F1" s="8"/>
      <c r="G1" s="8"/>
      <c r="H1" s="8"/>
      <c r="I1" s="8"/>
      <c r="J1" s="8"/>
      <c r="K1" s="8"/>
      <c r="L1" s="8"/>
      <c r="M1" s="8"/>
      <c r="N1" s="8"/>
      <c r="O1" s="8"/>
      <c r="P1" s="8"/>
      <c r="Q1" s="8"/>
    </row>
    <row r="2" spans="1:17" x14ac:dyDescent="0.35">
      <c r="A2" s="8"/>
      <c r="B2" s="8"/>
      <c r="C2" s="8"/>
      <c r="D2" s="8"/>
      <c r="E2" s="8"/>
      <c r="F2" s="8"/>
      <c r="G2" s="8"/>
      <c r="H2" s="8"/>
      <c r="I2" s="8"/>
      <c r="J2" s="8"/>
      <c r="K2" s="8"/>
      <c r="L2" s="8"/>
      <c r="M2" s="8"/>
      <c r="N2" s="8"/>
      <c r="O2" s="8"/>
      <c r="P2" s="8"/>
      <c r="Q2" s="8"/>
    </row>
    <row r="3" spans="1:17" x14ac:dyDescent="0.35">
      <c r="A3" s="8"/>
      <c r="B3" s="8"/>
      <c r="C3" s="8"/>
      <c r="D3" s="8"/>
      <c r="E3" s="8"/>
      <c r="F3" s="8"/>
      <c r="G3" s="8"/>
      <c r="H3" s="8"/>
      <c r="I3" s="8"/>
      <c r="J3" s="8"/>
      <c r="K3" s="8"/>
      <c r="L3" s="8"/>
      <c r="M3" s="8"/>
      <c r="N3" s="8"/>
      <c r="O3" s="8"/>
      <c r="P3" s="8"/>
      <c r="Q3" s="8"/>
    </row>
    <row r="4" spans="1:17" x14ac:dyDescent="0.35">
      <c r="A4" s="8"/>
      <c r="B4" s="8"/>
      <c r="C4" s="8"/>
      <c r="D4" s="8"/>
      <c r="E4" s="8"/>
      <c r="F4" s="8"/>
      <c r="G4" s="8"/>
      <c r="H4" s="8"/>
      <c r="I4" s="8"/>
      <c r="J4" s="8"/>
      <c r="K4" s="8"/>
      <c r="L4" s="8"/>
      <c r="M4" s="8"/>
      <c r="N4" s="8"/>
      <c r="O4" s="8"/>
      <c r="P4" s="8"/>
      <c r="Q4" s="8"/>
    </row>
    <row r="5" spans="1:17" x14ac:dyDescent="0.35">
      <c r="A5" s="8"/>
      <c r="B5" s="8"/>
      <c r="C5" s="8"/>
      <c r="D5" s="8"/>
      <c r="E5" s="8"/>
      <c r="F5" s="8"/>
      <c r="G5" s="8"/>
      <c r="H5" s="8"/>
      <c r="I5" s="8"/>
      <c r="J5" s="8"/>
      <c r="K5" s="8"/>
      <c r="L5" s="8"/>
      <c r="M5" s="8"/>
      <c r="N5" s="8"/>
      <c r="O5" s="8"/>
      <c r="P5" s="8"/>
      <c r="Q5" s="8"/>
    </row>
  </sheetData>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811F5-EB64-4596-A8B3-E75DFBC8836B}">
  <dimension ref="A1:D38"/>
  <sheetViews>
    <sheetView workbookViewId="0">
      <selection activeCell="B7" sqref="B7"/>
    </sheetView>
  </sheetViews>
  <sheetFormatPr defaultRowHeight="14.5" x14ac:dyDescent="0.35"/>
  <cols>
    <col min="1" max="1" width="16.453125" bestFit="1" customWidth="1"/>
    <col min="2" max="2" width="15.26953125" bestFit="1" customWidth="1"/>
    <col min="3" max="3" width="7.36328125" bestFit="1" customWidth="1"/>
    <col min="4" max="4" width="10.7265625" bestFit="1" customWidth="1"/>
  </cols>
  <sheetData>
    <row r="1" spans="1:4" x14ac:dyDescent="0.35">
      <c r="A1" s="4" t="s">
        <v>45</v>
      </c>
      <c r="B1" s="4" t="s">
        <v>44</v>
      </c>
    </row>
    <row r="2" spans="1:4" x14ac:dyDescent="0.35">
      <c r="A2" s="4" t="s">
        <v>42</v>
      </c>
      <c r="B2" t="s">
        <v>18</v>
      </c>
      <c r="C2" t="s">
        <v>15</v>
      </c>
      <c r="D2" t="s">
        <v>43</v>
      </c>
    </row>
    <row r="3" spans="1:4" x14ac:dyDescent="0.35">
      <c r="A3" s="5" t="s">
        <v>39</v>
      </c>
      <c r="B3" s="3">
        <v>53440</v>
      </c>
      <c r="C3" s="3">
        <v>55774.058577405856</v>
      </c>
      <c r="D3" s="3">
        <v>54580.777096114522</v>
      </c>
    </row>
    <row r="4" spans="1:4" x14ac:dyDescent="0.35">
      <c r="A4" s="5" t="s">
        <v>38</v>
      </c>
      <c r="B4" s="3">
        <v>56208.178438661707</v>
      </c>
      <c r="C4" s="3">
        <v>60123.966942148763</v>
      </c>
      <c r="D4" s="3">
        <v>58062.62230919765</v>
      </c>
    </row>
    <row r="5" spans="1:4" x14ac:dyDescent="0.35">
      <c r="A5" s="5" t="s">
        <v>43</v>
      </c>
      <c r="B5" s="3">
        <v>54874.759152215796</v>
      </c>
      <c r="C5" s="3">
        <v>57962.577962577961</v>
      </c>
      <c r="D5" s="3">
        <v>56360</v>
      </c>
    </row>
    <row r="18" spans="1:4" x14ac:dyDescent="0.35">
      <c r="A18" s="4" t="s">
        <v>46</v>
      </c>
      <c r="B18" s="4" t="s">
        <v>44</v>
      </c>
    </row>
    <row r="19" spans="1:4" x14ac:dyDescent="0.35">
      <c r="A19" s="4" t="s">
        <v>42</v>
      </c>
      <c r="B19" t="s">
        <v>18</v>
      </c>
      <c r="C19" t="s">
        <v>15</v>
      </c>
      <c r="D19" t="s">
        <v>43</v>
      </c>
    </row>
    <row r="20" spans="1:4" x14ac:dyDescent="0.35">
      <c r="A20" s="5" t="s">
        <v>16</v>
      </c>
      <c r="B20" s="6">
        <v>166</v>
      </c>
      <c r="C20" s="6">
        <v>200</v>
      </c>
      <c r="D20" s="6">
        <v>366</v>
      </c>
    </row>
    <row r="21" spans="1:4" x14ac:dyDescent="0.35">
      <c r="A21" s="5" t="s">
        <v>26</v>
      </c>
      <c r="B21" s="6">
        <v>92</v>
      </c>
      <c r="C21" s="6">
        <v>77</v>
      </c>
      <c r="D21" s="6">
        <v>169</v>
      </c>
    </row>
    <row r="22" spans="1:4" x14ac:dyDescent="0.35">
      <c r="A22" s="5" t="s">
        <v>22</v>
      </c>
      <c r="B22" s="6">
        <v>67</v>
      </c>
      <c r="C22" s="6">
        <v>95</v>
      </c>
      <c r="D22" s="6">
        <v>162</v>
      </c>
    </row>
    <row r="23" spans="1:4" x14ac:dyDescent="0.35">
      <c r="A23" s="5" t="s">
        <v>23</v>
      </c>
      <c r="B23" s="6">
        <v>116</v>
      </c>
      <c r="C23" s="6">
        <v>76</v>
      </c>
      <c r="D23" s="6">
        <v>192</v>
      </c>
    </row>
    <row r="24" spans="1:4" x14ac:dyDescent="0.35">
      <c r="A24" s="5" t="s">
        <v>47</v>
      </c>
      <c r="B24" s="6">
        <v>78</v>
      </c>
      <c r="C24" s="6">
        <v>33</v>
      </c>
      <c r="D24" s="6">
        <v>111</v>
      </c>
    </row>
    <row r="25" spans="1:4" x14ac:dyDescent="0.35">
      <c r="A25" s="5" t="s">
        <v>43</v>
      </c>
      <c r="B25" s="6">
        <v>519</v>
      </c>
      <c r="C25" s="6">
        <v>481</v>
      </c>
      <c r="D25" s="6">
        <v>1000</v>
      </c>
    </row>
    <row r="33" spans="1:4" x14ac:dyDescent="0.35">
      <c r="A33" s="4" t="s">
        <v>46</v>
      </c>
      <c r="B33" s="4" t="s">
        <v>44</v>
      </c>
    </row>
    <row r="34" spans="1:4" x14ac:dyDescent="0.35">
      <c r="A34" s="4" t="s">
        <v>42</v>
      </c>
      <c r="B34" t="s">
        <v>18</v>
      </c>
      <c r="C34" t="s">
        <v>15</v>
      </c>
      <c r="D34" t="s">
        <v>43</v>
      </c>
    </row>
    <row r="35" spans="1:4" x14ac:dyDescent="0.35">
      <c r="A35" s="5" t="s">
        <v>41</v>
      </c>
      <c r="B35" s="6">
        <v>71</v>
      </c>
      <c r="C35" s="6">
        <v>39</v>
      </c>
      <c r="D35" s="6">
        <v>110</v>
      </c>
    </row>
    <row r="36" spans="1:4" x14ac:dyDescent="0.35">
      <c r="A36" s="5" t="s">
        <v>48</v>
      </c>
      <c r="B36" s="6">
        <v>318</v>
      </c>
      <c r="C36" s="6">
        <v>383</v>
      </c>
      <c r="D36" s="6">
        <v>701</v>
      </c>
    </row>
    <row r="37" spans="1:4" x14ac:dyDescent="0.35">
      <c r="A37" s="5" t="s">
        <v>49</v>
      </c>
      <c r="B37" s="6">
        <v>130</v>
      </c>
      <c r="C37" s="6">
        <v>59</v>
      </c>
      <c r="D37" s="6">
        <v>189</v>
      </c>
    </row>
    <row r="38" spans="1:4" x14ac:dyDescent="0.35">
      <c r="A38" s="5" t="s">
        <v>43</v>
      </c>
      <c r="B38" s="6">
        <v>519</v>
      </c>
      <c r="C38" s="6">
        <v>481</v>
      </c>
      <c r="D38"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0130B-EEBA-4252-9E7F-B953E3632826}">
  <dimension ref="A1:N1001"/>
  <sheetViews>
    <sheetView tabSelected="1" topLeftCell="B956" workbookViewId="0">
      <selection activeCell="F992" sqref="F992"/>
    </sheetView>
  </sheetViews>
  <sheetFormatPr defaultColWidth="11.90625" defaultRowHeight="14.5" x14ac:dyDescent="0.35"/>
  <cols>
    <col min="4" max="4" width="11.90625" style="3"/>
    <col min="14" max="14" width="15.453125" customWidth="1"/>
  </cols>
  <sheetData>
    <row r="1" spans="1:14" x14ac:dyDescent="0.35">
      <c r="A1" t="s">
        <v>0</v>
      </c>
      <c r="B1" t="s">
        <v>1</v>
      </c>
      <c r="C1" t="s">
        <v>2</v>
      </c>
      <c r="D1" s="6"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01" xr:uid="{D360130B-EEBA-4252-9E7F-B953E363282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Pivot_Tables</vt:lpstr>
      <vt:lpstr>Working_Sheet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REHAN RIAZ</dc:creator>
  <cp:lastModifiedBy>MUHAMMAD REHAN RIAZ</cp:lastModifiedBy>
  <dcterms:created xsi:type="dcterms:W3CDTF">2022-03-18T02:50:57Z</dcterms:created>
  <dcterms:modified xsi:type="dcterms:W3CDTF">2026-05-17T20:28:35Z</dcterms:modified>
</cp:coreProperties>
</file>