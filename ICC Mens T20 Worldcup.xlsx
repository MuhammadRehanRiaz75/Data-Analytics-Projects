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Bootcamp\Excel Course\"/>
    </mc:Choice>
  </mc:AlternateContent>
  <xr:revisionPtr revIDLastSave="0" documentId="13_ncr:1_{19349629-60A3-4C85-A2D0-B0BD95E4CD20}" xr6:coauthVersionLast="47" xr6:coauthVersionMax="47" xr10:uidLastSave="{00000000-0000-0000-0000-000000000000}"/>
  <bookViews>
    <workbookView xWindow="-110" yWindow="-110" windowWidth="19420" windowHeight="10300" xr2:uid="{C41C6B11-2272-43BF-8E5D-F4348908B8F3}"/>
  </bookViews>
  <sheets>
    <sheet name="ICC Mens T20 Worldc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BL2" i="1" a="1"/>
  <c r="BL2" i="1" s="1"/>
  <c r="BK2" i="1" a="1"/>
  <c r="BK2" i="1" s="1"/>
  <c r="BJ2" i="1"/>
  <c r="BI2" i="1" a="1"/>
  <c r="BI2" i="1" s="1"/>
  <c r="BH2" i="1"/>
  <c r="BG2" i="1"/>
  <c r="BF2" i="1"/>
  <c r="BE2" i="1"/>
  <c r="BD2" i="1"/>
  <c r="AZ2" i="1"/>
  <c r="BA2" i="1" s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2" i="1"/>
  <c r="AW2" i="1"/>
  <c r="AV2" i="1"/>
  <c r="AU2" i="1"/>
  <c r="AT2" i="1"/>
  <c r="AS2" i="1"/>
  <c r="AR2" i="1"/>
  <c r="AQ2" i="1"/>
  <c r="AP2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2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2" i="1"/>
  <c r="AK13" i="1"/>
  <c r="AL2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K2" i="1"/>
  <c r="AK3" i="1"/>
  <c r="AK4" i="1"/>
  <c r="AK5" i="1"/>
  <c r="AK6" i="1"/>
  <c r="AK7" i="1"/>
  <c r="AK8" i="1"/>
  <c r="AK9" i="1"/>
  <c r="AK10" i="1"/>
  <c r="AK11" i="1"/>
  <c r="AK12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J3" i="1"/>
  <c r="AJ2" i="1"/>
  <c r="AI3" i="1"/>
  <c r="AI2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2" i="1"/>
  <c r="AF2" i="1"/>
  <c r="AC2" i="1"/>
  <c r="AB2" i="1"/>
  <c r="Z2" i="1"/>
  <c r="AA2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2" i="1"/>
  <c r="BC2" i="1" l="1"/>
  <c r="B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<sst xmlns="http://schemas.openxmlformats.org/spreadsheetml/2006/main" count="863" uniqueCount="264">
  <si>
    <t>Match No.</t>
  </si>
  <si>
    <t>Date</t>
  </si>
  <si>
    <t>Venue</t>
  </si>
  <si>
    <t>1st Team</t>
  </si>
  <si>
    <t>2nd Team</t>
  </si>
  <si>
    <t>Stage</t>
  </si>
  <si>
    <t>Toss Winning</t>
  </si>
  <si>
    <t>Toss Decision</t>
  </si>
  <si>
    <t>First Innings Score</t>
  </si>
  <si>
    <t>Fall of wickets First Innings</t>
  </si>
  <si>
    <t>Second Innings Score</t>
  </si>
  <si>
    <t>Fall of wickets Second Innings</t>
  </si>
  <si>
    <t>Winners</t>
  </si>
  <si>
    <t>Method</t>
  </si>
  <si>
    <t>Won by</t>
  </si>
  <si>
    <t>Winning Margin</t>
  </si>
  <si>
    <t>Top Scorer</t>
  </si>
  <si>
    <t>Highest Score</t>
  </si>
  <si>
    <t>Best Bowler</t>
  </si>
  <si>
    <t>Best Bowler Figure(Wickets Taken)</t>
  </si>
  <si>
    <t>Best Bowler Figure(Runs Recieved)</t>
  </si>
  <si>
    <t>Player Of The Match</t>
  </si>
  <si>
    <t>Total_Runs_Per_Match</t>
  </si>
  <si>
    <t>Avg_1st_Innings_Score</t>
  </si>
  <si>
    <t>Avg_2nd_Innings_Score</t>
  </si>
  <si>
    <t>Number_Field_First_Decision</t>
  </si>
  <si>
    <t>Max_1st_Innings_Score</t>
  </si>
  <si>
    <t>Min_1st_Innings_Score</t>
  </si>
  <si>
    <t>Loss_After_Field_Decision</t>
  </si>
  <si>
    <t>Good_Fielding_Decisions</t>
  </si>
  <si>
    <t>Round_1st_Innings_Score</t>
  </si>
  <si>
    <t>Won_By_Rain</t>
  </si>
  <si>
    <t>Number_No_Result</t>
  </si>
  <si>
    <t>No_All_Out_1st_Innings</t>
  </si>
  <si>
    <t>No_All_Out_2nd_Innings</t>
  </si>
  <si>
    <t>Is_Pak_Match</t>
  </si>
  <si>
    <t>Result_Pakistan_Match</t>
  </si>
  <si>
    <t>Total_Matches</t>
  </si>
  <si>
    <t>1st</t>
  </si>
  <si>
    <t>Saturday,June 1,2024</t>
  </si>
  <si>
    <t>Grand Prairie Stadium, Dallas</t>
  </si>
  <si>
    <t>Canada</t>
  </si>
  <si>
    <t>United State Of America</t>
  </si>
  <si>
    <t>Group A</t>
  </si>
  <si>
    <t>Fielding</t>
  </si>
  <si>
    <t>Normal Match</t>
  </si>
  <si>
    <t>Wickets</t>
  </si>
  <si>
    <t>Aaron Jones</t>
  </si>
  <si>
    <t>Dilon Heyliger</t>
  </si>
  <si>
    <t>2nd</t>
  </si>
  <si>
    <t>Sunday,June 2,2024</t>
  </si>
  <si>
    <t>Providence Stadium, Guyana</t>
  </si>
  <si>
    <t>Papua New Guinea</t>
  </si>
  <si>
    <t>Afghanistan</t>
  </si>
  <si>
    <t>Group C</t>
  </si>
  <si>
    <t>Gulbadin Naib</t>
  </si>
  <si>
    <t>Fazalhaq Farooqi</t>
  </si>
  <si>
    <t>3rd</t>
  </si>
  <si>
    <t>Kensington Oval, Bridgetown, Barbados</t>
  </si>
  <si>
    <t>Oman</t>
  </si>
  <si>
    <t>Namibia</t>
  </si>
  <si>
    <t>Group B</t>
  </si>
  <si>
    <t>Jan Frylinck</t>
  </si>
  <si>
    <t>Mehran Khan</t>
  </si>
  <si>
    <t>David Wiese</t>
  </si>
  <si>
    <t>4th</t>
  </si>
  <si>
    <t>Monday,June 3,2024</t>
  </si>
  <si>
    <t>Nassau County International Cricket Stadium, New York</t>
  </si>
  <si>
    <t>Sri Lanka</t>
  </si>
  <si>
    <t>South Africa</t>
  </si>
  <si>
    <t>Group D</t>
  </si>
  <si>
    <t>Batting</t>
  </si>
  <si>
    <t>Quinton de Kock</t>
  </si>
  <si>
    <t>Anrich Nortje</t>
  </si>
  <si>
    <t>5th</t>
  </si>
  <si>
    <t>Uganda</t>
  </si>
  <si>
    <t>Runs</t>
  </si>
  <si>
    <t>Rahmanullah Gurbaz</t>
  </si>
  <si>
    <t>6th</t>
  </si>
  <si>
    <t>Tuesday,June 4,2024</t>
  </si>
  <si>
    <t>Scotland</t>
  </si>
  <si>
    <t>England</t>
  </si>
  <si>
    <t>Rain</t>
  </si>
  <si>
    <t>7th</t>
  </si>
  <si>
    <t>Nepal</t>
  </si>
  <si>
    <t>Netherlands</t>
  </si>
  <si>
    <t>Max O'Dowd</t>
  </si>
  <si>
    <t>Tim Pringle</t>
  </si>
  <si>
    <t>8th</t>
  </si>
  <si>
    <t>Wednesday,June 5,2024</t>
  </si>
  <si>
    <t>Ireland</t>
  </si>
  <si>
    <t>India</t>
  </si>
  <si>
    <t>Rohit Sharma</t>
  </si>
  <si>
    <t>Jasprit Bumrah</t>
  </si>
  <si>
    <t>9th</t>
  </si>
  <si>
    <t>Riazat Ali Shah</t>
  </si>
  <si>
    <t>Alpesh Ramjani</t>
  </si>
  <si>
    <t>10th</t>
  </si>
  <si>
    <t>Australia</t>
  </si>
  <si>
    <t>Marcus Stoinis</t>
  </si>
  <si>
    <t>11th</t>
  </si>
  <si>
    <t>Thursday,June 6,2024</t>
  </si>
  <si>
    <t>Pakistan</t>
  </si>
  <si>
    <t>Monank Patel</t>
  </si>
  <si>
    <t>Nosthush Kenjige</t>
  </si>
  <si>
    <t>12th</t>
  </si>
  <si>
    <t>Michael Leask</t>
  </si>
  <si>
    <t>Brad Currie</t>
  </si>
  <si>
    <t>13th</t>
  </si>
  <si>
    <t>Friday,June 7,2024</t>
  </si>
  <si>
    <t>Nicholas Kirton</t>
  </si>
  <si>
    <t>Jeremy Gordon</t>
  </si>
  <si>
    <t>14th</t>
  </si>
  <si>
    <t>New Zealand</t>
  </si>
  <si>
    <t>Rashid Khan</t>
  </si>
  <si>
    <t>15th</t>
  </si>
  <si>
    <t>Bangladesh</t>
  </si>
  <si>
    <t>Pathum Nissanka</t>
  </si>
  <si>
    <t>Rishad Hossain</t>
  </si>
  <si>
    <t>16th</t>
  </si>
  <si>
    <t>Saturday,June 8,2024</t>
  </si>
  <si>
    <t>David Miller</t>
  </si>
  <si>
    <t>Ottneil Baartman</t>
  </si>
  <si>
    <t>17th</t>
  </si>
  <si>
    <t>Jos Buttler</t>
  </si>
  <si>
    <t>Adam Zampa</t>
  </si>
  <si>
    <t>18th</t>
  </si>
  <si>
    <t>West Indies</t>
  </si>
  <si>
    <t>Johnson Charles</t>
  </si>
  <si>
    <t>Akeal Hosein</t>
  </si>
  <si>
    <t>19th</t>
  </si>
  <si>
    <t>Sunday,June 9,2024</t>
  </si>
  <si>
    <t>Rishabh Pant</t>
  </si>
  <si>
    <t>20th</t>
  </si>
  <si>
    <t>Sir Vivian Richards Stadium, North Sound, Antigua</t>
  </si>
  <si>
    <t>Brandon McMullen</t>
  </si>
  <si>
    <t>Chris Greaves</t>
  </si>
  <si>
    <t>21th</t>
  </si>
  <si>
    <t>Monday,June 10,2024</t>
  </si>
  <si>
    <t>Heinrich Klaasen</t>
  </si>
  <si>
    <t>Tanzim Hasan Sakib</t>
  </si>
  <si>
    <t>22th</t>
  </si>
  <si>
    <t>Tuesday,June 11,2024</t>
  </si>
  <si>
    <t>Aaron Johnson</t>
  </si>
  <si>
    <t>Mohammad Amir</t>
  </si>
  <si>
    <t>23th</t>
  </si>
  <si>
    <t>Central Broward Regional Park Stadium Turf Ground, Lauderhill</t>
  </si>
  <si>
    <t>24th</t>
  </si>
  <si>
    <t>Gerhard Erasmus</t>
  </si>
  <si>
    <t>25th</t>
  </si>
  <si>
    <t>Wednesday,June 12,2024</t>
  </si>
  <si>
    <t>Suryakumar Yadav</t>
  </si>
  <si>
    <t>Arshdeep Singh</t>
  </si>
  <si>
    <t>26th</t>
  </si>
  <si>
    <t>Brian Lara Stadium, Tarouba, Trinidad</t>
  </si>
  <si>
    <t>Sherfane Rutherford</t>
  </si>
  <si>
    <t>Trent Boult</t>
  </si>
  <si>
    <t>27th</t>
  </si>
  <si>
    <t>Thursday,June 13,2024</t>
  </si>
  <si>
    <t>Arnos Vale Ground, Kingstown, St Vincent</t>
  </si>
  <si>
    <t>Shakib Al Hasan</t>
  </si>
  <si>
    <t>Paul van Meekeren</t>
  </si>
  <si>
    <t>28th</t>
  </si>
  <si>
    <t>Adil Rashid</t>
  </si>
  <si>
    <t>29th</t>
  </si>
  <si>
    <t>30th</t>
  </si>
  <si>
    <t>Friday,June 14,2024</t>
  </si>
  <si>
    <t>31th</t>
  </si>
  <si>
    <t>Reeza Hendricks</t>
  </si>
  <si>
    <t>Tabraiz Shamsi</t>
  </si>
  <si>
    <t>32th</t>
  </si>
  <si>
    <t>Devon Conway</t>
  </si>
  <si>
    <t>Tim Southee</t>
  </si>
  <si>
    <t>33th</t>
  </si>
  <si>
    <t>Saturday,June 15,2024</t>
  </si>
  <si>
    <t>34th</t>
  </si>
  <si>
    <t>Harry Brook</t>
  </si>
  <si>
    <t>35th</t>
  </si>
  <si>
    <t>Daren Sammy National Cricket Stadium, Gros Islet, St Lucia</t>
  </si>
  <si>
    <t>Mark Watt</t>
  </si>
  <si>
    <t>36th</t>
  </si>
  <si>
    <t>Sunday,June 16,2024</t>
  </si>
  <si>
    <t>Babar Azam</t>
  </si>
  <si>
    <t>Shaheen Shah Afridi</t>
  </si>
  <si>
    <t>37th</t>
  </si>
  <si>
    <t>Kushal Malla</t>
  </si>
  <si>
    <t>38th</t>
  </si>
  <si>
    <t>Charith Asalanka</t>
  </si>
  <si>
    <t>Nuwan Thushara</t>
  </si>
  <si>
    <t>39th</t>
  </si>
  <si>
    <t>Monday,June 17,2024</t>
  </si>
  <si>
    <t>Lockie Ferguson</t>
  </si>
  <si>
    <t>40th</t>
  </si>
  <si>
    <t>Nicholas Pooran</t>
  </si>
  <si>
    <t>Obed McCoy</t>
  </si>
  <si>
    <t>41th</t>
  </si>
  <si>
    <t>Wednesday,June 19,2024</t>
  </si>
  <si>
    <t>Kagiso Rabada</t>
  </si>
  <si>
    <t>42th</t>
  </si>
  <si>
    <t>Group 2</t>
  </si>
  <si>
    <t>Phil Salt</t>
  </si>
  <si>
    <t>43th</t>
  </si>
  <si>
    <t>Thursday,June 20,2024</t>
  </si>
  <si>
    <t>Group 1</t>
  </si>
  <si>
    <t>44th</t>
  </si>
  <si>
    <t>DLS</t>
  </si>
  <si>
    <t>David Warner</t>
  </si>
  <si>
    <t>Pat Cummins</t>
  </si>
  <si>
    <t>45th</t>
  </si>
  <si>
    <t>Friday,June 21,2024</t>
  </si>
  <si>
    <t>Jofra Archer</t>
  </si>
  <si>
    <t>46th</t>
  </si>
  <si>
    <t>Shai Hope</t>
  </si>
  <si>
    <t>Roston Chase</t>
  </si>
  <si>
    <t>47th</t>
  </si>
  <si>
    <t>Saturday,June 22,2024</t>
  </si>
  <si>
    <t>Hardik Pandya</t>
  </si>
  <si>
    <t>Kuldeep Yadav</t>
  </si>
  <si>
    <t>48th</t>
  </si>
  <si>
    <t>49th</t>
  </si>
  <si>
    <t>Sunday,June 23,2024</t>
  </si>
  <si>
    <t>50th</t>
  </si>
  <si>
    <t>51th</t>
  </si>
  <si>
    <t>Monday,June 24,2024</t>
  </si>
  <si>
    <t>52th</t>
  </si>
  <si>
    <t>Litton Das</t>
  </si>
  <si>
    <t>Naveen-ul-Haq</t>
  </si>
  <si>
    <t>53th</t>
  </si>
  <si>
    <t>Wednesday,June 26,2024</t>
  </si>
  <si>
    <t>1st Semi-Final</t>
  </si>
  <si>
    <t>Marco Jansen</t>
  </si>
  <si>
    <t>54th</t>
  </si>
  <si>
    <t>Thursday,June 27,2024</t>
  </si>
  <si>
    <t>2nd Semi-Final</t>
  </si>
  <si>
    <t>Axar Patel</t>
  </si>
  <si>
    <t>55th</t>
  </si>
  <si>
    <t>Saturday,June 29,2024</t>
  </si>
  <si>
    <t>Final</t>
  </si>
  <si>
    <t>Virat Kohli</t>
  </si>
  <si>
    <t>Char_Length_Ven</t>
  </si>
  <si>
    <t>Trim_Function</t>
  </si>
  <si>
    <t>UPPER_Func</t>
  </si>
  <si>
    <t>Lower_Func</t>
  </si>
  <si>
    <t>Left_Extract</t>
  </si>
  <si>
    <t>Right_Extract</t>
  </si>
  <si>
    <t>Mid_Extract</t>
  </si>
  <si>
    <t>Search_Text_Pos</t>
  </si>
  <si>
    <t>Substitute_Func</t>
  </si>
  <si>
    <t>Text_JOIN</t>
  </si>
  <si>
    <t>IF_Error</t>
  </si>
  <si>
    <t>VLOOK_Up</t>
  </si>
  <si>
    <t>Today_Date</t>
  </si>
  <si>
    <t>Dated_IF</t>
  </si>
  <si>
    <t>Format_Date</t>
  </si>
  <si>
    <t>NET_Work</t>
  </si>
  <si>
    <t>STD</t>
  </si>
  <si>
    <t>Variance</t>
  </si>
  <si>
    <t>Correl</t>
  </si>
  <si>
    <t>Rank</t>
  </si>
  <si>
    <t>Percentile</t>
  </si>
  <si>
    <t>Unique</t>
  </si>
  <si>
    <t>SumPROD</t>
  </si>
  <si>
    <t>Transpose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</si>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</sst>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F56-888C-4A13-8EA7-434DEB0E79E0}">
  <dimension ref="A1:BL56"/>
  <sheetViews>
    <sheetView tabSelected="1" topLeftCell="AU1" workbookViewId="0">
      <selection activeCell="AZ2" sqref="AZ2"/>
    </sheetView>
  </sheetViews>
  <sheetFormatPr defaultRowHeight="14.5" x14ac:dyDescent="0.35"/>
  <cols>
    <col min="24" max="24" width="19.7265625" bestFit="1" customWidth="1"/>
    <col min="25" max="25" width="19.81640625" bestFit="1" customWidth="1"/>
    <col min="26" max="26" width="20.453125" bestFit="1" customWidth="1"/>
    <col min="27" max="27" width="25.6328125" bestFit="1" customWidth="1"/>
    <col min="28" max="28" width="20.26953125" bestFit="1" customWidth="1"/>
    <col min="29" max="29" width="20" bestFit="1" customWidth="1"/>
    <col min="30" max="30" width="22.81640625" bestFit="1" customWidth="1"/>
    <col min="31" max="31" width="22.08984375" bestFit="1" customWidth="1"/>
    <col min="32" max="32" width="22.453125" bestFit="1" customWidth="1"/>
    <col min="33" max="33" width="12" bestFit="1" customWidth="1"/>
    <col min="34" max="34" width="17" bestFit="1" customWidth="1"/>
    <col min="35" max="35" width="20.453125" bestFit="1" customWidth="1"/>
    <col min="36" max="36" width="21.1796875" bestFit="1" customWidth="1"/>
    <col min="37" max="37" width="12.1796875" bestFit="1" customWidth="1"/>
    <col min="38" max="38" width="20.453125" bestFit="1" customWidth="1"/>
    <col min="39" max="39" width="12.90625" bestFit="1" customWidth="1"/>
    <col min="40" max="40" width="15.36328125" bestFit="1" customWidth="1"/>
    <col min="41" max="41" width="12.90625" bestFit="1" customWidth="1"/>
    <col min="42" max="42" width="12.36328125" bestFit="1" customWidth="1"/>
    <col min="43" max="43" width="10.7265625" bestFit="1" customWidth="1"/>
    <col min="44" max="44" width="10.6328125" bestFit="1" customWidth="1"/>
    <col min="45" max="45" width="11.81640625" bestFit="1" customWidth="1"/>
    <col min="46" max="46" width="12.7265625" bestFit="1" customWidth="1"/>
    <col min="47" max="47" width="14.81640625" bestFit="1" customWidth="1"/>
    <col min="48" max="48" width="14.6328125" bestFit="1" customWidth="1"/>
    <col min="49" max="49" width="48.7265625" bestFit="1" customWidth="1"/>
    <col min="51" max="51" width="9.6328125" bestFit="1" customWidth="1"/>
    <col min="52" max="52" width="10.453125" bestFit="1" customWidth="1"/>
    <col min="53" max="53" width="8" bestFit="1" customWidth="1"/>
    <col min="54" max="54" width="11.453125" bestFit="1" customWidth="1"/>
    <col min="63" max="63" width="29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</row>
    <row r="2" spans="1:64" x14ac:dyDescent="0.3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42</v>
      </c>
      <c r="H2" t="s">
        <v>44</v>
      </c>
      <c r="I2">
        <v>194</v>
      </c>
      <c r="J2">
        <v>5</v>
      </c>
      <c r="K2">
        <v>197</v>
      </c>
      <c r="L2">
        <v>3</v>
      </c>
      <c r="M2" t="s">
        <v>42</v>
      </c>
      <c r="N2" t="s">
        <v>45</v>
      </c>
      <c r="O2" t="s">
        <v>46</v>
      </c>
      <c r="P2">
        <v>7</v>
      </c>
      <c r="Q2" t="s">
        <v>47</v>
      </c>
      <c r="R2">
        <v>94</v>
      </c>
      <c r="S2" t="s">
        <v>48</v>
      </c>
      <c r="T2">
        <v>1</v>
      </c>
      <c r="U2">
        <v>19</v>
      </c>
      <c r="V2" t="s">
        <v>47</v>
      </c>
      <c r="X2">
        <f>SUM(I2,K2)</f>
        <v>391</v>
      </c>
      <c r="Y2">
        <f>AVERAGE(I2:I56)</f>
        <v>133.86538461538461</v>
      </c>
      <c r="Z2">
        <f>AVERAGE(K2:K56)</f>
        <v>116.37254901960785</v>
      </c>
      <c r="AA2">
        <f>COUNTIF(H2:H56,"Fielding")</f>
        <v>42</v>
      </c>
      <c r="AB2">
        <f>MAX(I2:I56)</f>
        <v>218</v>
      </c>
      <c r="AC2">
        <f>MIN(I2:I56)</f>
        <v>40</v>
      </c>
      <c r="AD2" t="b">
        <f>AND(H2="Fielding",O2="Wickets")</f>
        <v>1</v>
      </c>
      <c r="AE2">
        <f>COUNTIF(AD2:AD56,"TRUE")</f>
        <v>21</v>
      </c>
      <c r="AF2">
        <f>ROUND(Y2,2)</f>
        <v>133.87</v>
      </c>
      <c r="AG2" t="b">
        <f>IF(O2="Rain",TRUE,FALSE)</f>
        <v>0</v>
      </c>
      <c r="AH2">
        <f>COUNTIF(AG2:AG56,"TRUE")</f>
        <v>4</v>
      </c>
      <c r="AI2">
        <f>SUMIF(J2:J56,"=10",J2:J56)</f>
        <v>160</v>
      </c>
      <c r="AJ2">
        <f>SUMIF(L2:L56,"=10",L2:L56)</f>
        <v>100</v>
      </c>
      <c r="AK2" t="str">
        <f>IF(OR(D2="Pakistan",E2="Pakistan"),"Pakistan","Not Pakistan")</f>
        <v>Not Pakistan</v>
      </c>
      <c r="AL2" t="str">
        <f>IF(OR(D2="Pakistan",E2="Pakistan"),IF(M2="Pakistan","Pakistan Won","Pakistan Lost"),"Not Pakistan")</f>
        <v>Not Pakistan</v>
      </c>
      <c r="AM2">
        <f>COUNTA(A2:A56)</f>
        <v>55</v>
      </c>
      <c r="AN2">
        <f>LEN(C2)</f>
        <v>29</v>
      </c>
      <c r="AO2" t="str">
        <f>TRIM("Rehan   Riaz")</f>
        <v>Rehan Riaz</v>
      </c>
      <c r="AP2" t="str">
        <f>UPPER(V2)</f>
        <v>AARON JONES</v>
      </c>
      <c r="AQ2" t="str">
        <f>LOWER(V2)</f>
        <v>aaron jones</v>
      </c>
      <c r="AR2" t="str">
        <f>LEFT(AP2,5)</f>
        <v>AARON</v>
      </c>
      <c r="AS2" t="str">
        <f>RIGHT(AP2,5)</f>
        <v>JONES</v>
      </c>
      <c r="AT2" t="str">
        <f>MID(C2,1,14)</f>
        <v xml:space="preserve">Grand Prairie </v>
      </c>
      <c r="AU2">
        <f>SEARCH("State",M2)</f>
        <v>8</v>
      </c>
      <c r="AV2" t="str">
        <f>SUBSTITUTE(AR2,"AARON","ARON")</f>
        <v>ARON</v>
      </c>
      <c r="AW2" t="str">
        <f>_xlfn.TEXTJOIN(",",TRUE,C2:C3)</f>
        <v>Grand Prairie Stadium, Dallas,Providence Stadium, Guyana</v>
      </c>
      <c r="AX2">
        <f>IFERROR(I2/J2,"Error")</f>
        <v>38.799999999999997</v>
      </c>
      <c r="AY2">
        <f>VLOOKUP(194,I2:K3,2,FALSE)</f>
        <v>5</v>
      </c>
      <c r="AZ2" s="2">
        <f ca="1">TODAY()</f>
        <v>46158</v>
      </c>
      <c r="BA2">
        <f ca="1">DATEDIF("3/19/2025",AZ2,"m")</f>
        <v>13</v>
      </c>
      <c r="BB2" s="3" t="str">
        <f ca="1">TEXT(AZ2,"mm/dd/yyyy")</f>
        <v>05/16/2026</v>
      </c>
      <c r="BC2">
        <f ca="1">NETWORKDAYS("3/19/2026",AZ2)</f>
        <v>42</v>
      </c>
      <c r="BD2">
        <f>_xlfn.STDEV.S(X2:X56)</f>
        <v>94.302086412144135</v>
      </c>
      <c r="BE2">
        <f>_xlfn.VAR.S(X2:X56)</f>
        <v>8892.8835016835001</v>
      </c>
      <c r="BF2">
        <f>CORREL(I2:I56,K2:K56)</f>
        <v>0.6721132208486853</v>
      </c>
      <c r="BG2">
        <f>RANK(X6,X2:X56)</f>
        <v>25</v>
      </c>
      <c r="BH2">
        <f>PERCENTILE(X2:X56,0.5)</f>
        <v>232</v>
      </c>
      <c r="BI2" cm="1">
        <f t="array" ref="BI2:BI10">_xlfn.UNIQUE(J2:J56)</f>
        <v>5</v>
      </c>
      <c r="BJ2">
        <f>SUMPRODUCT(J2:J56,L2:L56)</f>
        <v>2085</v>
      </c>
      <c r="BK2" t="str" cm="1">
        <f t="array" ref="BK2:BK23">TRANSPOSE(A1:V1)</f>
        <v>Match No.</v>
      </c>
      <c r="BL2" cm="1">
        <f t="array" ref="BL2:BL56">_xlfn._xlws.SORT(X2:X56)</f>
        <v>0</v>
      </c>
    </row>
    <row r="3" spans="1:64" x14ac:dyDescent="0.3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53</v>
      </c>
      <c r="H3" t="s">
        <v>44</v>
      </c>
      <c r="I3">
        <v>95</v>
      </c>
      <c r="J3">
        <v>10</v>
      </c>
      <c r="K3">
        <v>101</v>
      </c>
      <c r="L3">
        <v>3</v>
      </c>
      <c r="M3" t="s">
        <v>53</v>
      </c>
      <c r="N3" t="s">
        <v>45</v>
      </c>
      <c r="O3" t="s">
        <v>46</v>
      </c>
      <c r="P3">
        <v>7</v>
      </c>
      <c r="Q3" t="s">
        <v>55</v>
      </c>
      <c r="R3">
        <v>49</v>
      </c>
      <c r="S3" t="s">
        <v>56</v>
      </c>
      <c r="T3">
        <v>3</v>
      </c>
      <c r="U3">
        <v>16</v>
      </c>
      <c r="V3" t="s">
        <v>56</v>
      </c>
      <c r="X3">
        <f t="shared" ref="X3:X56" si="0">SUM(I3,K3)</f>
        <v>196</v>
      </c>
      <c r="AD3" t="b">
        <f t="shared" ref="AD3:AD56" si="1">AND(H3="Fielding",O3="Wickets")</f>
        <v>1</v>
      </c>
      <c r="AG3" t="b">
        <f t="shared" ref="AG3:AG56" si="2">IF(O3="Rain",TRUE,FALSE)</f>
        <v>0</v>
      </c>
      <c r="AI3">
        <f>160/10</f>
        <v>16</v>
      </c>
      <c r="AJ3">
        <f>100/10</f>
        <v>10</v>
      </c>
      <c r="AK3" t="str">
        <f t="shared" ref="AK3:AK56" si="3">IF(OR(D3="Pakistan",E3="Pakistan"),"Pakistan","Not Pakistan")</f>
        <v>Not Pakistan</v>
      </c>
      <c r="AL3" t="str">
        <f t="shared" ref="AL3:AL56" si="4">IF(OR(D3="Pakistan",E3="Pakistan"),IF(M3="Pakistan","Pakistan Won","Pakistan Lost"),"Not Pakistan")</f>
        <v>Not Pakistan</v>
      </c>
      <c r="AN3">
        <f t="shared" ref="AN3:AN56" si="5">LEN(C3)</f>
        <v>26</v>
      </c>
      <c r="AX3">
        <f t="shared" ref="AX3:AX55" si="6">IFERROR(I3/J3,"Error")</f>
        <v>9.5</v>
      </c>
      <c r="BI3">
        <v>10</v>
      </c>
      <c r="BK3" t="str">
        <v>Date</v>
      </c>
      <c r="BL3">
        <v>0</v>
      </c>
    </row>
    <row r="4" spans="1:64" x14ac:dyDescent="0.35">
      <c r="A4" t="s">
        <v>57</v>
      </c>
      <c r="B4" t="s">
        <v>50</v>
      </c>
      <c r="C4" t="s">
        <v>58</v>
      </c>
      <c r="D4" t="s">
        <v>59</v>
      </c>
      <c r="E4" t="s">
        <v>60</v>
      </c>
      <c r="F4" t="s">
        <v>61</v>
      </c>
      <c r="G4" t="s">
        <v>60</v>
      </c>
      <c r="H4" t="s">
        <v>44</v>
      </c>
      <c r="I4">
        <v>109</v>
      </c>
      <c r="J4">
        <v>10</v>
      </c>
      <c r="K4">
        <v>109</v>
      </c>
      <c r="L4">
        <v>6</v>
      </c>
      <c r="M4" t="s">
        <v>60</v>
      </c>
      <c r="N4" t="s">
        <v>45</v>
      </c>
      <c r="O4" t="s">
        <v>46</v>
      </c>
      <c r="P4">
        <v>4</v>
      </c>
      <c r="Q4" t="s">
        <v>62</v>
      </c>
      <c r="R4">
        <v>45</v>
      </c>
      <c r="S4" t="s">
        <v>63</v>
      </c>
      <c r="T4">
        <v>3</v>
      </c>
      <c r="U4">
        <v>7</v>
      </c>
      <c r="V4" t="s">
        <v>64</v>
      </c>
      <c r="X4">
        <f t="shared" si="0"/>
        <v>218</v>
      </c>
      <c r="AD4" t="b">
        <f t="shared" si="1"/>
        <v>1</v>
      </c>
      <c r="AG4" t="b">
        <f t="shared" si="2"/>
        <v>0</v>
      </c>
      <c r="AK4" t="str">
        <f t="shared" si="3"/>
        <v>Not Pakistan</v>
      </c>
      <c r="AL4" t="str">
        <f t="shared" si="4"/>
        <v>Not Pakistan</v>
      </c>
      <c r="AN4">
        <f t="shared" si="5"/>
        <v>37</v>
      </c>
      <c r="AX4">
        <f t="shared" si="6"/>
        <v>10.9</v>
      </c>
      <c r="BI4">
        <v>0</v>
      </c>
      <c r="BK4" t="str">
        <v>Venue</v>
      </c>
      <c r="BL4">
        <v>0</v>
      </c>
    </row>
    <row r="5" spans="1:64" x14ac:dyDescent="0.3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68</v>
      </c>
      <c r="H5" t="s">
        <v>71</v>
      </c>
      <c r="I5">
        <v>77</v>
      </c>
      <c r="J5">
        <v>10</v>
      </c>
      <c r="K5">
        <v>80</v>
      </c>
      <c r="L5">
        <v>4</v>
      </c>
      <c r="M5" t="s">
        <v>69</v>
      </c>
      <c r="N5" t="s">
        <v>45</v>
      </c>
      <c r="O5" t="s">
        <v>46</v>
      </c>
      <c r="P5">
        <v>6</v>
      </c>
      <c r="Q5" t="s">
        <v>72</v>
      </c>
      <c r="R5">
        <v>20</v>
      </c>
      <c r="S5" t="s">
        <v>73</v>
      </c>
      <c r="T5">
        <v>4</v>
      </c>
      <c r="U5">
        <v>7</v>
      </c>
      <c r="V5" t="s">
        <v>73</v>
      </c>
      <c r="X5">
        <f t="shared" si="0"/>
        <v>157</v>
      </c>
      <c r="AD5" t="b">
        <f t="shared" si="1"/>
        <v>0</v>
      </c>
      <c r="AG5" t="b">
        <f t="shared" si="2"/>
        <v>0</v>
      </c>
      <c r="AK5" t="str">
        <f t="shared" si="3"/>
        <v>Not Pakistan</v>
      </c>
      <c r="AL5" t="str">
        <f t="shared" si="4"/>
        <v>Not Pakistan</v>
      </c>
      <c r="AN5">
        <f t="shared" si="5"/>
        <v>53</v>
      </c>
      <c r="AX5">
        <f t="shared" si="6"/>
        <v>7.7</v>
      </c>
      <c r="BI5">
        <v>7</v>
      </c>
      <c r="BK5" t="str">
        <v>1st Team</v>
      </c>
      <c r="BL5">
        <v>81</v>
      </c>
    </row>
    <row r="6" spans="1:64" x14ac:dyDescent="0.35">
      <c r="A6" t="s">
        <v>74</v>
      </c>
      <c r="B6" t="s">
        <v>66</v>
      </c>
      <c r="C6" t="s">
        <v>51</v>
      </c>
      <c r="D6" t="s">
        <v>53</v>
      </c>
      <c r="E6" t="s">
        <v>75</v>
      </c>
      <c r="F6" t="s">
        <v>54</v>
      </c>
      <c r="G6" t="s">
        <v>75</v>
      </c>
      <c r="H6" t="s">
        <v>44</v>
      </c>
      <c r="I6">
        <v>183</v>
      </c>
      <c r="J6">
        <v>5</v>
      </c>
      <c r="K6">
        <v>58</v>
      </c>
      <c r="L6">
        <v>10</v>
      </c>
      <c r="M6" t="s">
        <v>53</v>
      </c>
      <c r="N6" t="s">
        <v>45</v>
      </c>
      <c r="O6" t="s">
        <v>76</v>
      </c>
      <c r="P6">
        <v>125</v>
      </c>
      <c r="Q6" t="s">
        <v>77</v>
      </c>
      <c r="R6">
        <v>76</v>
      </c>
      <c r="S6" t="s">
        <v>56</v>
      </c>
      <c r="T6">
        <v>5</v>
      </c>
      <c r="U6">
        <v>9</v>
      </c>
      <c r="V6" t="s">
        <v>56</v>
      </c>
      <c r="X6">
        <f t="shared" si="0"/>
        <v>241</v>
      </c>
      <c r="AD6" t="b">
        <f t="shared" si="1"/>
        <v>0</v>
      </c>
      <c r="AG6" t="b">
        <f t="shared" si="2"/>
        <v>0</v>
      </c>
      <c r="AK6" t="str">
        <f t="shared" si="3"/>
        <v>Not Pakistan</v>
      </c>
      <c r="AL6" t="str">
        <f t="shared" si="4"/>
        <v>Not Pakistan</v>
      </c>
      <c r="AN6">
        <f t="shared" si="5"/>
        <v>26</v>
      </c>
      <c r="AX6">
        <f t="shared" si="6"/>
        <v>36.6</v>
      </c>
      <c r="BI6">
        <v>9</v>
      </c>
      <c r="BK6" t="str">
        <v>2nd Team</v>
      </c>
      <c r="BL6">
        <v>90</v>
      </c>
    </row>
    <row r="7" spans="1:64" x14ac:dyDescent="0.35">
      <c r="A7" t="s">
        <v>78</v>
      </c>
      <c r="B7" t="s">
        <v>79</v>
      </c>
      <c r="C7" t="s">
        <v>58</v>
      </c>
      <c r="D7" t="s">
        <v>80</v>
      </c>
      <c r="E7" t="s">
        <v>81</v>
      </c>
      <c r="F7" t="s">
        <v>61</v>
      </c>
      <c r="G7" t="s">
        <v>80</v>
      </c>
      <c r="H7" t="s">
        <v>71</v>
      </c>
      <c r="I7">
        <v>90</v>
      </c>
      <c r="J7">
        <v>0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 t="s">
        <v>82</v>
      </c>
      <c r="Q7" t="s">
        <v>82</v>
      </c>
      <c r="R7" t="s">
        <v>82</v>
      </c>
      <c r="S7" t="s">
        <v>82</v>
      </c>
      <c r="T7" t="s">
        <v>82</v>
      </c>
      <c r="U7" t="s">
        <v>82</v>
      </c>
      <c r="V7" t="s">
        <v>82</v>
      </c>
      <c r="X7">
        <f t="shared" si="0"/>
        <v>90</v>
      </c>
      <c r="AD7" t="b">
        <f t="shared" si="1"/>
        <v>0</v>
      </c>
      <c r="AG7" t="b">
        <f t="shared" si="2"/>
        <v>1</v>
      </c>
      <c r="AK7" t="str">
        <f t="shared" si="3"/>
        <v>Not Pakistan</v>
      </c>
      <c r="AL7" t="str">
        <f t="shared" si="4"/>
        <v>Not Pakistan</v>
      </c>
      <c r="AN7">
        <f t="shared" si="5"/>
        <v>37</v>
      </c>
      <c r="AX7" t="str">
        <f t="shared" si="6"/>
        <v>Error</v>
      </c>
      <c r="BI7">
        <v>6</v>
      </c>
      <c r="BK7" t="str">
        <v>Stage</v>
      </c>
      <c r="BL7">
        <v>97</v>
      </c>
    </row>
    <row r="8" spans="1:64" x14ac:dyDescent="0.35">
      <c r="A8" t="s">
        <v>83</v>
      </c>
      <c r="B8" t="s">
        <v>79</v>
      </c>
      <c r="C8" t="s">
        <v>40</v>
      </c>
      <c r="D8" t="s">
        <v>84</v>
      </c>
      <c r="E8" t="s">
        <v>85</v>
      </c>
      <c r="F8" t="s">
        <v>70</v>
      </c>
      <c r="G8" t="s">
        <v>85</v>
      </c>
      <c r="H8" t="s">
        <v>44</v>
      </c>
      <c r="I8">
        <v>106</v>
      </c>
      <c r="J8">
        <v>10</v>
      </c>
      <c r="K8">
        <v>109</v>
      </c>
      <c r="L8">
        <v>4</v>
      </c>
      <c r="M8" t="s">
        <v>85</v>
      </c>
      <c r="N8" t="s">
        <v>45</v>
      </c>
      <c r="O8" t="s">
        <v>46</v>
      </c>
      <c r="P8">
        <v>6</v>
      </c>
      <c r="Q8" t="s">
        <v>86</v>
      </c>
      <c r="R8">
        <v>54</v>
      </c>
      <c r="S8" t="s">
        <v>87</v>
      </c>
      <c r="T8">
        <v>3</v>
      </c>
      <c r="U8">
        <v>20</v>
      </c>
      <c r="V8" t="s">
        <v>87</v>
      </c>
      <c r="X8">
        <f t="shared" si="0"/>
        <v>215</v>
      </c>
      <c r="AD8" t="b">
        <f t="shared" si="1"/>
        <v>1</v>
      </c>
      <c r="AG8" t="b">
        <f t="shared" si="2"/>
        <v>0</v>
      </c>
      <c r="AK8" t="str">
        <f t="shared" si="3"/>
        <v>Not Pakistan</v>
      </c>
      <c r="AL8" t="str">
        <f t="shared" si="4"/>
        <v>Not Pakistan</v>
      </c>
      <c r="AN8">
        <f t="shared" si="5"/>
        <v>29</v>
      </c>
      <c r="AX8">
        <f t="shared" si="6"/>
        <v>10.6</v>
      </c>
      <c r="BI8" t="str">
        <v>Rain</v>
      </c>
      <c r="BK8" t="str">
        <v>Toss Winning</v>
      </c>
      <c r="BL8">
        <v>116</v>
      </c>
    </row>
    <row r="9" spans="1:64" x14ac:dyDescent="0.35">
      <c r="A9" t="s">
        <v>88</v>
      </c>
      <c r="B9" t="s">
        <v>89</v>
      </c>
      <c r="C9" t="s">
        <v>67</v>
      </c>
      <c r="D9" t="s">
        <v>90</v>
      </c>
      <c r="E9" t="s">
        <v>91</v>
      </c>
      <c r="F9" t="s">
        <v>43</v>
      </c>
      <c r="G9" t="s">
        <v>91</v>
      </c>
      <c r="H9" t="s">
        <v>44</v>
      </c>
      <c r="I9">
        <v>96</v>
      </c>
      <c r="J9">
        <v>10</v>
      </c>
      <c r="K9">
        <v>97</v>
      </c>
      <c r="L9">
        <v>2</v>
      </c>
      <c r="M9" t="s">
        <v>91</v>
      </c>
      <c r="N9" t="s">
        <v>45</v>
      </c>
      <c r="O9" t="s">
        <v>46</v>
      </c>
      <c r="P9">
        <v>8</v>
      </c>
      <c r="Q9" t="s">
        <v>92</v>
      </c>
      <c r="R9">
        <v>52</v>
      </c>
      <c r="S9" t="s">
        <v>93</v>
      </c>
      <c r="T9">
        <v>2</v>
      </c>
      <c r="U9">
        <v>6</v>
      </c>
      <c r="V9" t="s">
        <v>93</v>
      </c>
      <c r="X9">
        <f t="shared" si="0"/>
        <v>193</v>
      </c>
      <c r="AD9" t="b">
        <f t="shared" si="1"/>
        <v>1</v>
      </c>
      <c r="AG9" t="b">
        <f t="shared" si="2"/>
        <v>0</v>
      </c>
      <c r="AK9" t="str">
        <f t="shared" si="3"/>
        <v>Not Pakistan</v>
      </c>
      <c r="AL9" t="str">
        <f t="shared" si="4"/>
        <v>Not Pakistan</v>
      </c>
      <c r="AN9">
        <f t="shared" si="5"/>
        <v>53</v>
      </c>
      <c r="AX9">
        <f t="shared" si="6"/>
        <v>9.6</v>
      </c>
      <c r="BI9">
        <v>8</v>
      </c>
      <c r="BK9" t="str">
        <v>Toss Decision</v>
      </c>
      <c r="BL9">
        <v>146</v>
      </c>
    </row>
    <row r="10" spans="1:64" x14ac:dyDescent="0.35">
      <c r="A10" t="s">
        <v>94</v>
      </c>
      <c r="B10" t="s">
        <v>89</v>
      </c>
      <c r="C10" t="s">
        <v>51</v>
      </c>
      <c r="D10" t="s">
        <v>52</v>
      </c>
      <c r="E10" t="s">
        <v>75</v>
      </c>
      <c r="F10" t="s">
        <v>54</v>
      </c>
      <c r="G10" t="s">
        <v>75</v>
      </c>
      <c r="H10" t="s">
        <v>44</v>
      </c>
      <c r="I10">
        <v>77</v>
      </c>
      <c r="J10">
        <v>10</v>
      </c>
      <c r="K10">
        <v>78</v>
      </c>
      <c r="L10">
        <v>8</v>
      </c>
      <c r="M10" t="s">
        <v>75</v>
      </c>
      <c r="N10" t="s">
        <v>45</v>
      </c>
      <c r="O10" t="s">
        <v>46</v>
      </c>
      <c r="P10">
        <v>3</v>
      </c>
      <c r="Q10" t="s">
        <v>95</v>
      </c>
      <c r="R10">
        <v>33</v>
      </c>
      <c r="S10" t="s">
        <v>96</v>
      </c>
      <c r="T10">
        <v>17</v>
      </c>
      <c r="U10">
        <v>17</v>
      </c>
      <c r="V10" t="s">
        <v>95</v>
      </c>
      <c r="X10">
        <f t="shared" si="0"/>
        <v>155</v>
      </c>
      <c r="AD10" t="b">
        <f t="shared" si="1"/>
        <v>1</v>
      </c>
      <c r="AG10" t="b">
        <f t="shared" si="2"/>
        <v>0</v>
      </c>
      <c r="AK10" t="str">
        <f t="shared" si="3"/>
        <v>Not Pakistan</v>
      </c>
      <c r="AL10" t="str">
        <f t="shared" si="4"/>
        <v>Not Pakistan</v>
      </c>
      <c r="AN10">
        <f t="shared" si="5"/>
        <v>26</v>
      </c>
      <c r="AX10">
        <f t="shared" si="6"/>
        <v>7.7</v>
      </c>
      <c r="BI10">
        <v>4</v>
      </c>
      <c r="BK10" t="str">
        <v>First Innings Score</v>
      </c>
      <c r="BL10">
        <v>155</v>
      </c>
    </row>
    <row r="11" spans="1:64" x14ac:dyDescent="0.35">
      <c r="A11" t="s">
        <v>97</v>
      </c>
      <c r="B11" t="s">
        <v>89</v>
      </c>
      <c r="C11" t="s">
        <v>58</v>
      </c>
      <c r="D11" t="s">
        <v>98</v>
      </c>
      <c r="E11" t="s">
        <v>59</v>
      </c>
      <c r="F11" t="s">
        <v>61</v>
      </c>
      <c r="G11" t="s">
        <v>59</v>
      </c>
      <c r="H11" t="s">
        <v>44</v>
      </c>
      <c r="I11">
        <v>164</v>
      </c>
      <c r="J11">
        <v>5</v>
      </c>
      <c r="K11">
        <v>125</v>
      </c>
      <c r="L11">
        <v>9</v>
      </c>
      <c r="M11" t="s">
        <v>98</v>
      </c>
      <c r="N11" t="s">
        <v>45</v>
      </c>
      <c r="O11" t="s">
        <v>76</v>
      </c>
      <c r="P11">
        <v>39</v>
      </c>
      <c r="Q11" t="s">
        <v>99</v>
      </c>
      <c r="R11">
        <v>67</v>
      </c>
      <c r="S11" t="s">
        <v>99</v>
      </c>
      <c r="T11">
        <v>3</v>
      </c>
      <c r="U11">
        <v>19</v>
      </c>
      <c r="V11" t="s">
        <v>99</v>
      </c>
      <c r="X11">
        <f t="shared" si="0"/>
        <v>289</v>
      </c>
      <c r="AD11" t="b">
        <f t="shared" si="1"/>
        <v>0</v>
      </c>
      <c r="AG11" t="b">
        <f t="shared" si="2"/>
        <v>0</v>
      </c>
      <c r="AK11" t="str">
        <f t="shared" si="3"/>
        <v>Not Pakistan</v>
      </c>
      <c r="AL11" t="str">
        <f t="shared" si="4"/>
        <v>Not Pakistan</v>
      </c>
      <c r="AN11">
        <f t="shared" si="5"/>
        <v>37</v>
      </c>
      <c r="AX11">
        <f t="shared" si="6"/>
        <v>32.799999999999997</v>
      </c>
      <c r="BK11" t="str">
        <v>Fall of wickets First Innings</v>
      </c>
      <c r="BL11">
        <v>157</v>
      </c>
    </row>
    <row r="12" spans="1:64" x14ac:dyDescent="0.35">
      <c r="A12" t="s">
        <v>100</v>
      </c>
      <c r="B12" t="s">
        <v>101</v>
      </c>
      <c r="C12" t="s">
        <v>40</v>
      </c>
      <c r="D12" t="s">
        <v>102</v>
      </c>
      <c r="E12" t="s">
        <v>42</v>
      </c>
      <c r="F12" t="s">
        <v>43</v>
      </c>
      <c r="G12" t="s">
        <v>42</v>
      </c>
      <c r="H12" t="s">
        <v>44</v>
      </c>
      <c r="I12">
        <v>159</v>
      </c>
      <c r="J12">
        <v>7</v>
      </c>
      <c r="K12">
        <v>160</v>
      </c>
      <c r="L12">
        <v>3</v>
      </c>
      <c r="M12" t="s">
        <v>42</v>
      </c>
      <c r="N12" t="s">
        <v>45</v>
      </c>
      <c r="O12" t="s">
        <v>76</v>
      </c>
      <c r="P12">
        <v>1</v>
      </c>
      <c r="Q12" t="s">
        <v>103</v>
      </c>
      <c r="R12">
        <v>50</v>
      </c>
      <c r="S12" t="s">
        <v>104</v>
      </c>
      <c r="T12">
        <v>30</v>
      </c>
      <c r="U12">
        <v>30</v>
      </c>
      <c r="V12" t="s">
        <v>103</v>
      </c>
      <c r="X12">
        <f t="shared" si="0"/>
        <v>319</v>
      </c>
      <c r="AD12" t="b">
        <f t="shared" si="1"/>
        <v>0</v>
      </c>
      <c r="AG12" t="b">
        <f t="shared" si="2"/>
        <v>0</v>
      </c>
      <c r="AK12" t="str">
        <f t="shared" si="3"/>
        <v>Pakistan</v>
      </c>
      <c r="AL12" t="str">
        <f t="shared" si="4"/>
        <v>Pakistan Lost</v>
      </c>
      <c r="AN12">
        <f t="shared" si="5"/>
        <v>29</v>
      </c>
      <c r="AX12">
        <f t="shared" si="6"/>
        <v>22.714285714285715</v>
      </c>
      <c r="BK12" t="str">
        <v>Second Innings Score</v>
      </c>
      <c r="BL12">
        <v>157</v>
      </c>
    </row>
    <row r="13" spans="1:64" x14ac:dyDescent="0.35">
      <c r="A13" t="s">
        <v>105</v>
      </c>
      <c r="B13" t="s">
        <v>101</v>
      </c>
      <c r="C13" t="s">
        <v>58</v>
      </c>
      <c r="D13" t="s">
        <v>60</v>
      </c>
      <c r="E13" t="s">
        <v>80</v>
      </c>
      <c r="F13" t="s">
        <v>61</v>
      </c>
      <c r="G13" t="s">
        <v>60</v>
      </c>
      <c r="H13" t="s">
        <v>71</v>
      </c>
      <c r="I13">
        <v>155</v>
      </c>
      <c r="J13">
        <v>9</v>
      </c>
      <c r="K13">
        <v>157</v>
      </c>
      <c r="L13">
        <v>5</v>
      </c>
      <c r="M13" t="s">
        <v>80</v>
      </c>
      <c r="N13" t="s">
        <v>45</v>
      </c>
      <c r="O13" t="s">
        <v>46</v>
      </c>
      <c r="P13">
        <v>5</v>
      </c>
      <c r="Q13" t="s">
        <v>106</v>
      </c>
      <c r="R13">
        <v>35</v>
      </c>
      <c r="S13" t="s">
        <v>107</v>
      </c>
      <c r="T13">
        <v>2</v>
      </c>
      <c r="U13">
        <v>16</v>
      </c>
      <c r="V13" t="s">
        <v>106</v>
      </c>
      <c r="X13">
        <f t="shared" si="0"/>
        <v>312</v>
      </c>
      <c r="AD13" t="b">
        <f t="shared" si="1"/>
        <v>0</v>
      </c>
      <c r="AG13" t="b">
        <f t="shared" si="2"/>
        <v>0</v>
      </c>
      <c r="AK13" t="str">
        <f>IF(OR(D13="Pakistan",E13="Pakistan"),"Pakistan","Not Pakistan")</f>
        <v>Not Pakistan</v>
      </c>
      <c r="AL13" t="str">
        <f t="shared" si="4"/>
        <v>Not Pakistan</v>
      </c>
      <c r="AN13">
        <f t="shared" si="5"/>
        <v>37</v>
      </c>
      <c r="AX13">
        <f t="shared" si="6"/>
        <v>17.222222222222221</v>
      </c>
      <c r="BK13" t="str">
        <v>Fall of wickets Second Innings</v>
      </c>
      <c r="BL13">
        <v>191</v>
      </c>
    </row>
    <row r="14" spans="1:64" x14ac:dyDescent="0.35">
      <c r="A14" t="s">
        <v>108</v>
      </c>
      <c r="B14" t="s">
        <v>109</v>
      </c>
      <c r="C14" t="s">
        <v>67</v>
      </c>
      <c r="D14" t="s">
        <v>41</v>
      </c>
      <c r="E14" t="s">
        <v>90</v>
      </c>
      <c r="F14" t="s">
        <v>43</v>
      </c>
      <c r="G14" t="s">
        <v>90</v>
      </c>
      <c r="H14" t="s">
        <v>44</v>
      </c>
      <c r="I14">
        <v>137</v>
      </c>
      <c r="J14">
        <v>7</v>
      </c>
      <c r="K14">
        <v>125</v>
      </c>
      <c r="L14">
        <v>7</v>
      </c>
      <c r="M14" t="s">
        <v>41</v>
      </c>
      <c r="N14" t="s">
        <v>45</v>
      </c>
      <c r="O14" t="s">
        <v>76</v>
      </c>
      <c r="P14">
        <v>12</v>
      </c>
      <c r="Q14" t="s">
        <v>110</v>
      </c>
      <c r="R14">
        <v>49</v>
      </c>
      <c r="S14" t="s">
        <v>111</v>
      </c>
      <c r="T14">
        <v>2</v>
      </c>
      <c r="U14">
        <v>16</v>
      </c>
      <c r="V14" t="s">
        <v>110</v>
      </c>
      <c r="X14">
        <f t="shared" si="0"/>
        <v>262</v>
      </c>
      <c r="AD14" t="b">
        <f t="shared" si="1"/>
        <v>0</v>
      </c>
      <c r="AG14" t="b">
        <f t="shared" si="2"/>
        <v>0</v>
      </c>
      <c r="AK14" t="str">
        <f t="shared" si="3"/>
        <v>Not Pakistan</v>
      </c>
      <c r="AL14" t="str">
        <f t="shared" si="4"/>
        <v>Not Pakistan</v>
      </c>
      <c r="AN14">
        <f t="shared" si="5"/>
        <v>53</v>
      </c>
      <c r="AX14">
        <f t="shared" si="6"/>
        <v>19.571428571428573</v>
      </c>
      <c r="BK14" t="str">
        <v>Winners</v>
      </c>
      <c r="BL14">
        <v>193</v>
      </c>
    </row>
    <row r="15" spans="1:64" x14ac:dyDescent="0.35">
      <c r="A15" t="s">
        <v>112</v>
      </c>
      <c r="B15" t="s">
        <v>109</v>
      </c>
      <c r="C15" t="s">
        <v>51</v>
      </c>
      <c r="D15" t="s">
        <v>53</v>
      </c>
      <c r="E15" t="s">
        <v>113</v>
      </c>
      <c r="F15" t="s">
        <v>54</v>
      </c>
      <c r="G15" t="s">
        <v>113</v>
      </c>
      <c r="H15" t="s">
        <v>44</v>
      </c>
      <c r="I15">
        <v>159</v>
      </c>
      <c r="J15">
        <v>6</v>
      </c>
      <c r="K15">
        <v>75</v>
      </c>
      <c r="L15">
        <v>10</v>
      </c>
      <c r="M15" t="s">
        <v>53</v>
      </c>
      <c r="N15" t="s">
        <v>45</v>
      </c>
      <c r="O15" t="s">
        <v>76</v>
      </c>
      <c r="P15">
        <v>84</v>
      </c>
      <c r="Q15" t="s">
        <v>77</v>
      </c>
      <c r="R15">
        <v>80</v>
      </c>
      <c r="S15" t="s">
        <v>114</v>
      </c>
      <c r="T15">
        <v>4</v>
      </c>
      <c r="U15">
        <v>17</v>
      </c>
      <c r="V15" t="s">
        <v>77</v>
      </c>
      <c r="X15">
        <f t="shared" si="0"/>
        <v>234</v>
      </c>
      <c r="AD15" t="b">
        <f t="shared" si="1"/>
        <v>0</v>
      </c>
      <c r="AG15" t="b">
        <f t="shared" si="2"/>
        <v>0</v>
      </c>
      <c r="AK15" t="str">
        <f t="shared" si="3"/>
        <v>Not Pakistan</v>
      </c>
      <c r="AL15" t="str">
        <f t="shared" si="4"/>
        <v>Not Pakistan</v>
      </c>
      <c r="AN15">
        <f t="shared" si="5"/>
        <v>26</v>
      </c>
      <c r="AX15">
        <f t="shared" si="6"/>
        <v>26.5</v>
      </c>
      <c r="BK15" t="str">
        <v>Method</v>
      </c>
      <c r="BL15">
        <v>196</v>
      </c>
    </row>
    <row r="16" spans="1:64" x14ac:dyDescent="0.35">
      <c r="A16" t="s">
        <v>115</v>
      </c>
      <c r="B16" t="s">
        <v>109</v>
      </c>
      <c r="C16" t="s">
        <v>40</v>
      </c>
      <c r="D16" t="s">
        <v>68</v>
      </c>
      <c r="E16" t="s">
        <v>116</v>
      </c>
      <c r="F16" t="s">
        <v>70</v>
      </c>
      <c r="G16" t="s">
        <v>116</v>
      </c>
      <c r="H16" t="s">
        <v>44</v>
      </c>
      <c r="I16">
        <v>124</v>
      </c>
      <c r="J16">
        <v>9</v>
      </c>
      <c r="K16">
        <v>125</v>
      </c>
      <c r="L16">
        <v>8</v>
      </c>
      <c r="M16" t="s">
        <v>116</v>
      </c>
      <c r="N16" t="s">
        <v>45</v>
      </c>
      <c r="O16" t="s">
        <v>46</v>
      </c>
      <c r="P16">
        <v>2</v>
      </c>
      <c r="Q16" t="s">
        <v>117</v>
      </c>
      <c r="R16">
        <v>47</v>
      </c>
      <c r="S16" t="s">
        <v>118</v>
      </c>
      <c r="T16">
        <v>3</v>
      </c>
      <c r="U16">
        <v>22</v>
      </c>
      <c r="V16" t="s">
        <v>118</v>
      </c>
      <c r="X16">
        <f t="shared" si="0"/>
        <v>249</v>
      </c>
      <c r="AD16" t="b">
        <f t="shared" si="1"/>
        <v>1</v>
      </c>
      <c r="AG16" t="b">
        <f t="shared" si="2"/>
        <v>0</v>
      </c>
      <c r="AK16" t="str">
        <f t="shared" si="3"/>
        <v>Not Pakistan</v>
      </c>
      <c r="AL16" t="str">
        <f t="shared" si="4"/>
        <v>Not Pakistan</v>
      </c>
      <c r="AN16">
        <f t="shared" si="5"/>
        <v>29</v>
      </c>
      <c r="AX16">
        <f t="shared" si="6"/>
        <v>13.777777777777779</v>
      </c>
      <c r="BK16" t="str">
        <v>Won by</v>
      </c>
      <c r="BL16">
        <v>196</v>
      </c>
    </row>
    <row r="17" spans="1:64" x14ac:dyDescent="0.35">
      <c r="A17" t="s">
        <v>119</v>
      </c>
      <c r="B17" t="s">
        <v>120</v>
      </c>
      <c r="C17" t="s">
        <v>67</v>
      </c>
      <c r="D17" t="s">
        <v>85</v>
      </c>
      <c r="E17" t="s">
        <v>69</v>
      </c>
      <c r="F17" t="s">
        <v>70</v>
      </c>
      <c r="G17" t="s">
        <v>69</v>
      </c>
      <c r="H17" t="s">
        <v>44</v>
      </c>
      <c r="I17">
        <v>103</v>
      </c>
      <c r="J17">
        <v>9</v>
      </c>
      <c r="K17">
        <v>106</v>
      </c>
      <c r="L17">
        <v>6</v>
      </c>
      <c r="M17" t="s">
        <v>69</v>
      </c>
      <c r="N17" t="s">
        <v>45</v>
      </c>
      <c r="O17" t="s">
        <v>46</v>
      </c>
      <c r="P17">
        <v>4</v>
      </c>
      <c r="Q17" t="s">
        <v>121</v>
      </c>
      <c r="R17">
        <v>59</v>
      </c>
      <c r="S17" t="s">
        <v>122</v>
      </c>
      <c r="T17">
        <v>4</v>
      </c>
      <c r="U17">
        <v>11</v>
      </c>
      <c r="V17" t="s">
        <v>121</v>
      </c>
      <c r="X17">
        <f t="shared" si="0"/>
        <v>209</v>
      </c>
      <c r="AD17" t="b">
        <f t="shared" si="1"/>
        <v>1</v>
      </c>
      <c r="AG17" t="b">
        <f t="shared" si="2"/>
        <v>0</v>
      </c>
      <c r="AK17" t="str">
        <f t="shared" si="3"/>
        <v>Not Pakistan</v>
      </c>
      <c r="AL17" t="str">
        <f t="shared" si="4"/>
        <v>Not Pakistan</v>
      </c>
      <c r="AN17">
        <f t="shared" si="5"/>
        <v>53</v>
      </c>
      <c r="AX17">
        <f t="shared" si="6"/>
        <v>11.444444444444445</v>
      </c>
      <c r="BK17" t="str">
        <v>Winning Margin</v>
      </c>
      <c r="BL17">
        <v>206</v>
      </c>
    </row>
    <row r="18" spans="1:64" x14ac:dyDescent="0.35">
      <c r="A18" t="s">
        <v>123</v>
      </c>
      <c r="B18" t="s">
        <v>120</v>
      </c>
      <c r="C18" t="s">
        <v>58</v>
      </c>
      <c r="D18" t="s">
        <v>98</v>
      </c>
      <c r="E18" t="s">
        <v>81</v>
      </c>
      <c r="F18" t="s">
        <v>61</v>
      </c>
      <c r="G18" t="s">
        <v>81</v>
      </c>
      <c r="H18" t="s">
        <v>44</v>
      </c>
      <c r="I18">
        <v>201</v>
      </c>
      <c r="J18">
        <v>7</v>
      </c>
      <c r="K18">
        <v>165</v>
      </c>
      <c r="L18">
        <v>6</v>
      </c>
      <c r="M18" t="s">
        <v>98</v>
      </c>
      <c r="N18" t="s">
        <v>45</v>
      </c>
      <c r="O18" t="s">
        <v>76</v>
      </c>
      <c r="P18">
        <v>36</v>
      </c>
      <c r="Q18" t="s">
        <v>124</v>
      </c>
      <c r="R18">
        <v>42</v>
      </c>
      <c r="S18" t="s">
        <v>125</v>
      </c>
      <c r="T18">
        <v>2</v>
      </c>
      <c r="U18">
        <v>28</v>
      </c>
      <c r="V18" t="s">
        <v>125</v>
      </c>
      <c r="X18">
        <f t="shared" si="0"/>
        <v>366</v>
      </c>
      <c r="AD18" t="b">
        <f t="shared" si="1"/>
        <v>0</v>
      </c>
      <c r="AG18" t="b">
        <f t="shared" si="2"/>
        <v>0</v>
      </c>
      <c r="AK18" t="str">
        <f t="shared" si="3"/>
        <v>Not Pakistan</v>
      </c>
      <c r="AL18" t="str">
        <f t="shared" si="4"/>
        <v>Not Pakistan</v>
      </c>
      <c r="AN18">
        <f t="shared" si="5"/>
        <v>37</v>
      </c>
      <c r="AX18">
        <f t="shared" si="6"/>
        <v>28.714285714285715</v>
      </c>
      <c r="BK18" t="str">
        <v>Top Scorer</v>
      </c>
      <c r="BL18">
        <v>209</v>
      </c>
    </row>
    <row r="19" spans="1:64" x14ac:dyDescent="0.35">
      <c r="A19" t="s">
        <v>126</v>
      </c>
      <c r="B19" t="s">
        <v>120</v>
      </c>
      <c r="C19" t="s">
        <v>51</v>
      </c>
      <c r="D19" t="s">
        <v>127</v>
      </c>
      <c r="E19" t="s">
        <v>75</v>
      </c>
      <c r="F19" t="s">
        <v>54</v>
      </c>
      <c r="G19" t="s">
        <v>127</v>
      </c>
      <c r="H19" t="s">
        <v>71</v>
      </c>
      <c r="I19">
        <v>173</v>
      </c>
      <c r="J19">
        <v>5</v>
      </c>
      <c r="K19">
        <v>39</v>
      </c>
      <c r="L19">
        <v>10</v>
      </c>
      <c r="M19" t="s">
        <v>127</v>
      </c>
      <c r="N19" t="s">
        <v>45</v>
      </c>
      <c r="O19" t="s">
        <v>76</v>
      </c>
      <c r="P19">
        <v>134</v>
      </c>
      <c r="Q19" t="s">
        <v>128</v>
      </c>
      <c r="R19">
        <v>44</v>
      </c>
      <c r="S19" t="s">
        <v>129</v>
      </c>
      <c r="T19">
        <v>5</v>
      </c>
      <c r="U19">
        <v>11</v>
      </c>
      <c r="V19" t="s">
        <v>129</v>
      </c>
      <c r="X19">
        <f t="shared" si="0"/>
        <v>212</v>
      </c>
      <c r="AD19" t="b">
        <f t="shared" si="1"/>
        <v>0</v>
      </c>
      <c r="AG19" t="b">
        <f t="shared" si="2"/>
        <v>0</v>
      </c>
      <c r="AK19" t="str">
        <f t="shared" si="3"/>
        <v>Not Pakistan</v>
      </c>
      <c r="AL19" t="str">
        <f t="shared" si="4"/>
        <v>Not Pakistan</v>
      </c>
      <c r="AN19">
        <f t="shared" si="5"/>
        <v>26</v>
      </c>
      <c r="AX19">
        <f t="shared" si="6"/>
        <v>34.6</v>
      </c>
      <c r="BK19" t="str">
        <v>Highest Score</v>
      </c>
      <c r="BL19">
        <v>212</v>
      </c>
    </row>
    <row r="20" spans="1:64" x14ac:dyDescent="0.35">
      <c r="A20" t="s">
        <v>130</v>
      </c>
      <c r="B20" t="s">
        <v>131</v>
      </c>
      <c r="C20" t="s">
        <v>67</v>
      </c>
      <c r="D20" t="s">
        <v>91</v>
      </c>
      <c r="E20" t="s">
        <v>102</v>
      </c>
      <c r="F20" t="s">
        <v>43</v>
      </c>
      <c r="G20" t="s">
        <v>102</v>
      </c>
      <c r="H20" t="s">
        <v>44</v>
      </c>
      <c r="I20">
        <v>119</v>
      </c>
      <c r="J20">
        <v>10</v>
      </c>
      <c r="K20">
        <v>113</v>
      </c>
      <c r="L20">
        <v>7</v>
      </c>
      <c r="M20" t="s">
        <v>91</v>
      </c>
      <c r="N20" t="s">
        <v>45</v>
      </c>
      <c r="O20" t="s">
        <v>76</v>
      </c>
      <c r="P20">
        <v>6</v>
      </c>
      <c r="Q20" t="s">
        <v>132</v>
      </c>
      <c r="R20">
        <v>42</v>
      </c>
      <c r="S20" t="s">
        <v>93</v>
      </c>
      <c r="T20">
        <v>3</v>
      </c>
      <c r="U20">
        <v>14</v>
      </c>
      <c r="V20" t="s">
        <v>93</v>
      </c>
      <c r="X20">
        <f t="shared" si="0"/>
        <v>232</v>
      </c>
      <c r="AD20" t="b">
        <f t="shared" si="1"/>
        <v>0</v>
      </c>
      <c r="AG20" t="b">
        <f t="shared" si="2"/>
        <v>0</v>
      </c>
      <c r="AK20" t="str">
        <f t="shared" si="3"/>
        <v>Pakistan</v>
      </c>
      <c r="AL20" t="str">
        <f t="shared" si="4"/>
        <v>Pakistan Lost</v>
      </c>
      <c r="AN20">
        <f t="shared" si="5"/>
        <v>53</v>
      </c>
      <c r="AX20">
        <f t="shared" si="6"/>
        <v>11.9</v>
      </c>
      <c r="BK20" t="str">
        <v>Best Bowler</v>
      </c>
      <c r="BL20">
        <v>213</v>
      </c>
    </row>
    <row r="21" spans="1:64" x14ac:dyDescent="0.35">
      <c r="A21" t="s">
        <v>133</v>
      </c>
      <c r="B21" t="s">
        <v>131</v>
      </c>
      <c r="C21" t="s">
        <v>134</v>
      </c>
      <c r="D21" t="s">
        <v>59</v>
      </c>
      <c r="E21" t="s">
        <v>80</v>
      </c>
      <c r="F21" t="s">
        <v>61</v>
      </c>
      <c r="G21" t="s">
        <v>59</v>
      </c>
      <c r="H21" t="s">
        <v>71</v>
      </c>
      <c r="I21">
        <v>150</v>
      </c>
      <c r="J21">
        <v>7</v>
      </c>
      <c r="K21">
        <v>153</v>
      </c>
      <c r="L21">
        <v>3</v>
      </c>
      <c r="M21" t="s">
        <v>80</v>
      </c>
      <c r="N21" t="s">
        <v>45</v>
      </c>
      <c r="O21" t="s">
        <v>46</v>
      </c>
      <c r="P21">
        <v>7</v>
      </c>
      <c r="Q21" t="s">
        <v>135</v>
      </c>
      <c r="R21">
        <v>31</v>
      </c>
      <c r="S21" t="s">
        <v>136</v>
      </c>
      <c r="T21">
        <v>1</v>
      </c>
      <c r="U21">
        <v>2</v>
      </c>
      <c r="V21" t="s">
        <v>135</v>
      </c>
      <c r="X21">
        <f t="shared" si="0"/>
        <v>303</v>
      </c>
      <c r="AD21" t="b">
        <f t="shared" si="1"/>
        <v>0</v>
      </c>
      <c r="AG21" t="b">
        <f t="shared" si="2"/>
        <v>0</v>
      </c>
      <c r="AK21" t="str">
        <f t="shared" si="3"/>
        <v>Not Pakistan</v>
      </c>
      <c r="AL21" t="str">
        <f t="shared" si="4"/>
        <v>Not Pakistan</v>
      </c>
      <c r="AN21">
        <f t="shared" si="5"/>
        <v>49</v>
      </c>
      <c r="AX21">
        <f t="shared" si="6"/>
        <v>21.428571428571427</v>
      </c>
      <c r="BK21" t="str">
        <v>Best Bowler Figure(Wickets Taken)</v>
      </c>
      <c r="BL21">
        <v>215</v>
      </c>
    </row>
    <row r="22" spans="1:64" x14ac:dyDescent="0.35">
      <c r="A22" t="s">
        <v>137</v>
      </c>
      <c r="B22" t="s">
        <v>138</v>
      </c>
      <c r="C22" t="s">
        <v>67</v>
      </c>
      <c r="D22" t="s">
        <v>69</v>
      </c>
      <c r="E22" t="s">
        <v>116</v>
      </c>
      <c r="F22" t="s">
        <v>70</v>
      </c>
      <c r="G22" t="s">
        <v>69</v>
      </c>
      <c r="H22" t="s">
        <v>71</v>
      </c>
      <c r="I22">
        <v>113</v>
      </c>
      <c r="J22">
        <v>6</v>
      </c>
      <c r="K22">
        <v>109</v>
      </c>
      <c r="L22">
        <v>7</v>
      </c>
      <c r="M22" t="s">
        <v>69</v>
      </c>
      <c r="N22" t="s">
        <v>45</v>
      </c>
      <c r="O22" t="s">
        <v>76</v>
      </c>
      <c r="P22">
        <v>4</v>
      </c>
      <c r="Q22" t="s">
        <v>139</v>
      </c>
      <c r="R22">
        <v>46</v>
      </c>
      <c r="S22" t="s">
        <v>140</v>
      </c>
      <c r="T22">
        <v>3</v>
      </c>
      <c r="U22">
        <v>18</v>
      </c>
      <c r="V22" t="s">
        <v>139</v>
      </c>
      <c r="X22">
        <f t="shared" si="0"/>
        <v>222</v>
      </c>
      <c r="AD22" t="b">
        <f t="shared" si="1"/>
        <v>0</v>
      </c>
      <c r="AG22" t="b">
        <f t="shared" si="2"/>
        <v>0</v>
      </c>
      <c r="AK22" t="str">
        <f t="shared" si="3"/>
        <v>Not Pakistan</v>
      </c>
      <c r="AL22" t="str">
        <f t="shared" si="4"/>
        <v>Not Pakistan</v>
      </c>
      <c r="AN22">
        <f t="shared" si="5"/>
        <v>53</v>
      </c>
      <c r="AX22">
        <f t="shared" si="6"/>
        <v>18.833333333333332</v>
      </c>
      <c r="BK22" t="str">
        <v>Best Bowler Figure(Runs Recieved)</v>
      </c>
      <c r="BL22">
        <v>217</v>
      </c>
    </row>
    <row r="23" spans="1:64" x14ac:dyDescent="0.35">
      <c r="A23" t="s">
        <v>141</v>
      </c>
      <c r="B23" t="s">
        <v>142</v>
      </c>
      <c r="C23" t="s">
        <v>67</v>
      </c>
      <c r="D23" t="s">
        <v>41</v>
      </c>
      <c r="E23" t="s">
        <v>102</v>
      </c>
      <c r="F23" t="s">
        <v>43</v>
      </c>
      <c r="G23" t="s">
        <v>102</v>
      </c>
      <c r="H23" t="s">
        <v>44</v>
      </c>
      <c r="I23">
        <v>106</v>
      </c>
      <c r="J23">
        <v>7</v>
      </c>
      <c r="K23">
        <v>107</v>
      </c>
      <c r="L23">
        <v>3</v>
      </c>
      <c r="M23" t="s">
        <v>102</v>
      </c>
      <c r="N23" t="s">
        <v>45</v>
      </c>
      <c r="O23" t="s">
        <v>46</v>
      </c>
      <c r="P23">
        <v>7</v>
      </c>
      <c r="Q23" t="s">
        <v>143</v>
      </c>
      <c r="R23">
        <v>52</v>
      </c>
      <c r="S23" t="s">
        <v>144</v>
      </c>
      <c r="T23">
        <v>2</v>
      </c>
      <c r="U23">
        <v>13</v>
      </c>
      <c r="V23" t="s">
        <v>144</v>
      </c>
      <c r="X23">
        <f t="shared" si="0"/>
        <v>213</v>
      </c>
      <c r="AD23" t="b">
        <f t="shared" si="1"/>
        <v>1</v>
      </c>
      <c r="AG23" t="b">
        <f t="shared" si="2"/>
        <v>0</v>
      </c>
      <c r="AK23" t="str">
        <f t="shared" si="3"/>
        <v>Pakistan</v>
      </c>
      <c r="AL23" t="str">
        <f t="shared" si="4"/>
        <v>Pakistan Won</v>
      </c>
      <c r="AN23">
        <f t="shared" si="5"/>
        <v>53</v>
      </c>
      <c r="AX23">
        <f t="shared" si="6"/>
        <v>15.142857142857142</v>
      </c>
      <c r="BK23" t="str">
        <v>Player Of The Match</v>
      </c>
      <c r="BL23">
        <v>218</v>
      </c>
    </row>
    <row r="24" spans="1:64" x14ac:dyDescent="0.35">
      <c r="A24" t="s">
        <v>145</v>
      </c>
      <c r="B24" t="s">
        <v>142</v>
      </c>
      <c r="C24" t="s">
        <v>146</v>
      </c>
      <c r="D24" t="s">
        <v>84</v>
      </c>
      <c r="E24" t="s">
        <v>68</v>
      </c>
      <c r="F24" t="s">
        <v>70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  <c r="O24" t="s">
        <v>82</v>
      </c>
      <c r="P24" t="s">
        <v>82</v>
      </c>
      <c r="Q24" t="s">
        <v>82</v>
      </c>
      <c r="R24" t="s">
        <v>82</v>
      </c>
      <c r="S24" t="s">
        <v>82</v>
      </c>
      <c r="T24" t="s">
        <v>82</v>
      </c>
      <c r="U24" t="s">
        <v>82</v>
      </c>
      <c r="V24" t="s">
        <v>82</v>
      </c>
      <c r="X24">
        <f t="shared" si="0"/>
        <v>0</v>
      </c>
      <c r="AD24" t="b">
        <f t="shared" si="1"/>
        <v>0</v>
      </c>
      <c r="AG24" t="b">
        <f t="shared" si="2"/>
        <v>1</v>
      </c>
      <c r="AK24" t="str">
        <f t="shared" si="3"/>
        <v>Not Pakistan</v>
      </c>
      <c r="AL24" t="str">
        <f t="shared" si="4"/>
        <v>Not Pakistan</v>
      </c>
      <c r="AN24">
        <f t="shared" si="5"/>
        <v>61</v>
      </c>
      <c r="AX24" t="str">
        <f t="shared" si="6"/>
        <v>Error</v>
      </c>
      <c r="BL24">
        <v>220</v>
      </c>
    </row>
    <row r="25" spans="1:64" x14ac:dyDescent="0.35">
      <c r="A25" t="s">
        <v>147</v>
      </c>
      <c r="B25" t="s">
        <v>142</v>
      </c>
      <c r="C25" t="s">
        <v>134</v>
      </c>
      <c r="D25" t="s">
        <v>60</v>
      </c>
      <c r="E25" t="s">
        <v>98</v>
      </c>
      <c r="F25" t="s">
        <v>61</v>
      </c>
      <c r="G25" t="s">
        <v>98</v>
      </c>
      <c r="H25" t="s">
        <v>44</v>
      </c>
      <c r="I25">
        <v>72</v>
      </c>
      <c r="J25">
        <v>10</v>
      </c>
      <c r="K25">
        <v>74</v>
      </c>
      <c r="L25">
        <v>1</v>
      </c>
      <c r="M25" t="s">
        <v>98</v>
      </c>
      <c r="N25" t="s">
        <v>45</v>
      </c>
      <c r="O25" t="s">
        <v>46</v>
      </c>
      <c r="P25">
        <v>9</v>
      </c>
      <c r="Q25" t="s">
        <v>148</v>
      </c>
      <c r="R25">
        <v>36</v>
      </c>
      <c r="S25" t="s">
        <v>125</v>
      </c>
      <c r="T25">
        <v>4</v>
      </c>
      <c r="U25">
        <v>12</v>
      </c>
      <c r="V25" t="s">
        <v>125</v>
      </c>
      <c r="X25">
        <f t="shared" si="0"/>
        <v>146</v>
      </c>
      <c r="AD25" t="b">
        <f t="shared" si="1"/>
        <v>1</v>
      </c>
      <c r="AG25" t="b">
        <f t="shared" si="2"/>
        <v>0</v>
      </c>
      <c r="AK25" t="str">
        <f t="shared" si="3"/>
        <v>Not Pakistan</v>
      </c>
      <c r="AL25" t="str">
        <f t="shared" si="4"/>
        <v>Not Pakistan</v>
      </c>
      <c r="AN25">
        <f t="shared" si="5"/>
        <v>49</v>
      </c>
      <c r="AX25">
        <f t="shared" si="6"/>
        <v>7.2</v>
      </c>
      <c r="BL25">
        <v>221</v>
      </c>
    </row>
    <row r="26" spans="1:64" x14ac:dyDescent="0.35">
      <c r="A26" t="s">
        <v>149</v>
      </c>
      <c r="B26" t="s">
        <v>150</v>
      </c>
      <c r="C26" t="s">
        <v>67</v>
      </c>
      <c r="D26" t="s">
        <v>42</v>
      </c>
      <c r="E26" t="s">
        <v>91</v>
      </c>
      <c r="F26" t="s">
        <v>43</v>
      </c>
      <c r="G26" t="s">
        <v>91</v>
      </c>
      <c r="H26" t="s">
        <v>44</v>
      </c>
      <c r="I26">
        <v>110</v>
      </c>
      <c r="J26">
        <v>8</v>
      </c>
      <c r="K26">
        <v>111</v>
      </c>
      <c r="L26">
        <v>3</v>
      </c>
      <c r="M26" t="s">
        <v>91</v>
      </c>
      <c r="N26" t="s">
        <v>45</v>
      </c>
      <c r="O26" t="s">
        <v>46</v>
      </c>
      <c r="P26">
        <v>7</v>
      </c>
      <c r="Q26" t="s">
        <v>151</v>
      </c>
      <c r="R26">
        <v>50</v>
      </c>
      <c r="S26" t="s">
        <v>152</v>
      </c>
      <c r="T26">
        <v>4</v>
      </c>
      <c r="U26">
        <v>9</v>
      </c>
      <c r="V26" t="s">
        <v>152</v>
      </c>
      <c r="X26">
        <f t="shared" si="0"/>
        <v>221</v>
      </c>
      <c r="AD26" t="b">
        <f t="shared" si="1"/>
        <v>1</v>
      </c>
      <c r="AG26" t="b">
        <f t="shared" si="2"/>
        <v>0</v>
      </c>
      <c r="AK26" t="str">
        <f t="shared" si="3"/>
        <v>Not Pakistan</v>
      </c>
      <c r="AL26" t="str">
        <f t="shared" si="4"/>
        <v>Not Pakistan</v>
      </c>
      <c r="AN26">
        <f t="shared" si="5"/>
        <v>53</v>
      </c>
      <c r="AX26">
        <f t="shared" si="6"/>
        <v>13.75</v>
      </c>
      <c r="BL26">
        <v>222</v>
      </c>
    </row>
    <row r="27" spans="1:64" x14ac:dyDescent="0.35">
      <c r="A27" t="s">
        <v>153</v>
      </c>
      <c r="B27" t="s">
        <v>150</v>
      </c>
      <c r="C27" t="s">
        <v>154</v>
      </c>
      <c r="D27" t="s">
        <v>127</v>
      </c>
      <c r="E27" t="s">
        <v>113</v>
      </c>
      <c r="F27" t="s">
        <v>54</v>
      </c>
      <c r="G27" t="s">
        <v>113</v>
      </c>
      <c r="H27" t="s">
        <v>44</v>
      </c>
      <c r="I27">
        <v>149</v>
      </c>
      <c r="J27">
        <v>9</v>
      </c>
      <c r="K27">
        <v>136</v>
      </c>
      <c r="L27">
        <v>9</v>
      </c>
      <c r="M27" t="s">
        <v>127</v>
      </c>
      <c r="N27" t="s">
        <v>45</v>
      </c>
      <c r="O27" t="s">
        <v>76</v>
      </c>
      <c r="P27">
        <v>13</v>
      </c>
      <c r="Q27" t="s">
        <v>155</v>
      </c>
      <c r="R27">
        <v>68</v>
      </c>
      <c r="S27" t="s">
        <v>156</v>
      </c>
      <c r="T27">
        <v>3</v>
      </c>
      <c r="U27">
        <v>16</v>
      </c>
      <c r="V27" t="s">
        <v>155</v>
      </c>
      <c r="X27">
        <f t="shared" si="0"/>
        <v>285</v>
      </c>
      <c r="AD27" t="b">
        <f t="shared" si="1"/>
        <v>0</v>
      </c>
      <c r="AG27" t="b">
        <f t="shared" si="2"/>
        <v>0</v>
      </c>
      <c r="AK27" t="str">
        <f t="shared" si="3"/>
        <v>Not Pakistan</v>
      </c>
      <c r="AL27" t="str">
        <f t="shared" si="4"/>
        <v>Not Pakistan</v>
      </c>
      <c r="AN27">
        <f t="shared" si="5"/>
        <v>37</v>
      </c>
      <c r="AX27">
        <f t="shared" si="6"/>
        <v>16.555555555555557</v>
      </c>
      <c r="BL27">
        <v>229</v>
      </c>
    </row>
    <row r="28" spans="1:64" x14ac:dyDescent="0.35">
      <c r="A28" t="s">
        <v>157</v>
      </c>
      <c r="B28" t="s">
        <v>158</v>
      </c>
      <c r="C28" t="s">
        <v>159</v>
      </c>
      <c r="D28" t="s">
        <v>116</v>
      </c>
      <c r="E28" t="s">
        <v>85</v>
      </c>
      <c r="F28" t="s">
        <v>70</v>
      </c>
      <c r="G28" t="s">
        <v>85</v>
      </c>
      <c r="H28" t="s">
        <v>44</v>
      </c>
      <c r="I28">
        <v>159</v>
      </c>
      <c r="J28">
        <v>5</v>
      </c>
      <c r="K28">
        <v>134</v>
      </c>
      <c r="L28">
        <v>8</v>
      </c>
      <c r="M28" t="s">
        <v>116</v>
      </c>
      <c r="N28" t="s">
        <v>45</v>
      </c>
      <c r="O28" t="s">
        <v>76</v>
      </c>
      <c r="P28">
        <v>25</v>
      </c>
      <c r="Q28" t="s">
        <v>160</v>
      </c>
      <c r="R28">
        <v>64</v>
      </c>
      <c r="S28" t="s">
        <v>161</v>
      </c>
      <c r="T28">
        <v>2</v>
      </c>
      <c r="U28">
        <v>15</v>
      </c>
      <c r="V28" t="s">
        <v>160</v>
      </c>
      <c r="X28">
        <f t="shared" si="0"/>
        <v>293</v>
      </c>
      <c r="AD28" t="b">
        <f t="shared" si="1"/>
        <v>0</v>
      </c>
      <c r="AG28" t="b">
        <f t="shared" si="2"/>
        <v>0</v>
      </c>
      <c r="AK28" t="str">
        <f t="shared" si="3"/>
        <v>Not Pakistan</v>
      </c>
      <c r="AL28" t="str">
        <f t="shared" si="4"/>
        <v>Not Pakistan</v>
      </c>
      <c r="AN28">
        <f t="shared" si="5"/>
        <v>40</v>
      </c>
      <c r="AX28">
        <f t="shared" si="6"/>
        <v>31.8</v>
      </c>
      <c r="BL28">
        <v>232</v>
      </c>
    </row>
    <row r="29" spans="1:64" x14ac:dyDescent="0.35">
      <c r="A29" t="s">
        <v>162</v>
      </c>
      <c r="B29" t="s">
        <v>158</v>
      </c>
      <c r="C29" t="s">
        <v>134</v>
      </c>
      <c r="D29" t="s">
        <v>59</v>
      </c>
      <c r="E29" t="s">
        <v>81</v>
      </c>
      <c r="F29" t="s">
        <v>61</v>
      </c>
      <c r="G29" t="s">
        <v>81</v>
      </c>
      <c r="H29" t="s">
        <v>44</v>
      </c>
      <c r="I29">
        <v>47</v>
      </c>
      <c r="J29">
        <v>10</v>
      </c>
      <c r="K29">
        <v>50</v>
      </c>
      <c r="L29">
        <v>2</v>
      </c>
      <c r="M29" t="s">
        <v>81</v>
      </c>
      <c r="N29" t="s">
        <v>45</v>
      </c>
      <c r="O29" t="s">
        <v>46</v>
      </c>
      <c r="P29">
        <v>8</v>
      </c>
      <c r="Q29" t="s">
        <v>124</v>
      </c>
      <c r="R29">
        <v>24</v>
      </c>
      <c r="S29" t="s">
        <v>163</v>
      </c>
      <c r="T29">
        <v>4</v>
      </c>
      <c r="U29">
        <v>11</v>
      </c>
      <c r="V29" t="s">
        <v>163</v>
      </c>
      <c r="X29">
        <f t="shared" si="0"/>
        <v>97</v>
      </c>
      <c r="AD29" t="b">
        <f t="shared" si="1"/>
        <v>1</v>
      </c>
      <c r="AG29" t="b">
        <f t="shared" si="2"/>
        <v>0</v>
      </c>
      <c r="AK29" t="str">
        <f t="shared" si="3"/>
        <v>Not Pakistan</v>
      </c>
      <c r="AL29" t="str">
        <f t="shared" si="4"/>
        <v>Not Pakistan</v>
      </c>
      <c r="AN29">
        <f t="shared" si="5"/>
        <v>49</v>
      </c>
      <c r="AX29">
        <f t="shared" si="6"/>
        <v>4.7</v>
      </c>
      <c r="BL29">
        <v>232</v>
      </c>
    </row>
    <row r="30" spans="1:64" x14ac:dyDescent="0.35">
      <c r="A30" t="s">
        <v>164</v>
      </c>
      <c r="B30" t="s">
        <v>158</v>
      </c>
      <c r="C30" t="s">
        <v>154</v>
      </c>
      <c r="D30" t="s">
        <v>52</v>
      </c>
      <c r="E30" t="s">
        <v>53</v>
      </c>
      <c r="F30" t="s">
        <v>54</v>
      </c>
      <c r="G30" t="s">
        <v>53</v>
      </c>
      <c r="H30" t="s">
        <v>44</v>
      </c>
      <c r="I30">
        <v>95</v>
      </c>
      <c r="J30">
        <v>10</v>
      </c>
      <c r="K30">
        <v>101</v>
      </c>
      <c r="L30">
        <v>3</v>
      </c>
      <c r="M30" t="s">
        <v>53</v>
      </c>
      <c r="N30" t="s">
        <v>45</v>
      </c>
      <c r="O30" t="s">
        <v>46</v>
      </c>
      <c r="P30">
        <v>7</v>
      </c>
      <c r="Q30" t="s">
        <v>55</v>
      </c>
      <c r="R30">
        <v>49</v>
      </c>
      <c r="S30" t="s">
        <v>56</v>
      </c>
      <c r="T30">
        <v>3</v>
      </c>
      <c r="U30">
        <v>16</v>
      </c>
      <c r="V30" t="s">
        <v>56</v>
      </c>
      <c r="X30">
        <f t="shared" si="0"/>
        <v>196</v>
      </c>
      <c r="AD30" t="b">
        <f t="shared" si="1"/>
        <v>1</v>
      </c>
      <c r="AG30" t="b">
        <f t="shared" si="2"/>
        <v>0</v>
      </c>
      <c r="AK30" t="str">
        <f t="shared" si="3"/>
        <v>Not Pakistan</v>
      </c>
      <c r="AL30" t="str">
        <f t="shared" si="4"/>
        <v>Not Pakistan</v>
      </c>
      <c r="AN30">
        <f t="shared" si="5"/>
        <v>37</v>
      </c>
      <c r="AX30">
        <f t="shared" si="6"/>
        <v>9.5</v>
      </c>
      <c r="BL30">
        <v>234</v>
      </c>
    </row>
    <row r="31" spans="1:64" x14ac:dyDescent="0.35">
      <c r="A31" t="s">
        <v>165</v>
      </c>
      <c r="B31" t="s">
        <v>166</v>
      </c>
      <c r="C31" t="s">
        <v>146</v>
      </c>
      <c r="D31" t="s">
        <v>42</v>
      </c>
      <c r="E31" t="s">
        <v>90</v>
      </c>
      <c r="F31" t="s">
        <v>43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  <c r="N31" t="s">
        <v>82</v>
      </c>
      <c r="O31" t="s">
        <v>82</v>
      </c>
      <c r="P31" t="s">
        <v>82</v>
      </c>
      <c r="Q31" t="s">
        <v>82</v>
      </c>
      <c r="R31" t="s">
        <v>82</v>
      </c>
      <c r="S31" t="s">
        <v>82</v>
      </c>
      <c r="T31" t="s">
        <v>82</v>
      </c>
      <c r="U31" t="s">
        <v>82</v>
      </c>
      <c r="V31" t="s">
        <v>82</v>
      </c>
      <c r="X31">
        <f t="shared" si="0"/>
        <v>0</v>
      </c>
      <c r="AD31" t="b">
        <f t="shared" si="1"/>
        <v>0</v>
      </c>
      <c r="AG31" t="b">
        <f t="shared" si="2"/>
        <v>1</v>
      </c>
      <c r="AK31" t="str">
        <f t="shared" si="3"/>
        <v>Not Pakistan</v>
      </c>
      <c r="AL31" t="str">
        <f t="shared" si="4"/>
        <v>Not Pakistan</v>
      </c>
      <c r="AN31">
        <f t="shared" si="5"/>
        <v>61</v>
      </c>
      <c r="AX31" t="str">
        <f t="shared" si="6"/>
        <v>Error</v>
      </c>
      <c r="BL31">
        <v>240</v>
      </c>
    </row>
    <row r="32" spans="1:64" x14ac:dyDescent="0.35">
      <c r="A32" t="s">
        <v>167</v>
      </c>
      <c r="B32" t="s">
        <v>166</v>
      </c>
      <c r="C32" t="s">
        <v>159</v>
      </c>
      <c r="D32" t="s">
        <v>69</v>
      </c>
      <c r="E32" t="s">
        <v>84</v>
      </c>
      <c r="F32" t="s">
        <v>70</v>
      </c>
      <c r="G32" t="s">
        <v>84</v>
      </c>
      <c r="H32" t="s">
        <v>44</v>
      </c>
      <c r="I32">
        <v>115</v>
      </c>
      <c r="J32">
        <v>7</v>
      </c>
      <c r="K32">
        <v>114</v>
      </c>
      <c r="L32">
        <v>7</v>
      </c>
      <c r="M32" t="s">
        <v>69</v>
      </c>
      <c r="N32" t="s">
        <v>45</v>
      </c>
      <c r="O32" t="s">
        <v>76</v>
      </c>
      <c r="P32">
        <v>1</v>
      </c>
      <c r="Q32" t="s">
        <v>168</v>
      </c>
      <c r="R32">
        <v>43</v>
      </c>
      <c r="S32" t="s">
        <v>169</v>
      </c>
      <c r="T32">
        <v>4</v>
      </c>
      <c r="U32">
        <v>19</v>
      </c>
      <c r="V32" t="s">
        <v>169</v>
      </c>
      <c r="X32">
        <f t="shared" si="0"/>
        <v>229</v>
      </c>
      <c r="AD32" t="b">
        <f t="shared" si="1"/>
        <v>0</v>
      </c>
      <c r="AG32" t="b">
        <f t="shared" si="2"/>
        <v>0</v>
      </c>
      <c r="AK32" t="str">
        <f t="shared" si="3"/>
        <v>Not Pakistan</v>
      </c>
      <c r="AL32" t="str">
        <f t="shared" si="4"/>
        <v>Not Pakistan</v>
      </c>
      <c r="AN32">
        <f t="shared" si="5"/>
        <v>40</v>
      </c>
      <c r="AX32">
        <f t="shared" si="6"/>
        <v>16.428571428571427</v>
      </c>
      <c r="BL32">
        <v>241</v>
      </c>
    </row>
    <row r="33" spans="1:64" x14ac:dyDescent="0.35">
      <c r="A33" t="s">
        <v>170</v>
      </c>
      <c r="B33" t="s">
        <v>166</v>
      </c>
      <c r="C33" t="s">
        <v>154</v>
      </c>
      <c r="D33" t="s">
        <v>75</v>
      </c>
      <c r="E33" t="s">
        <v>113</v>
      </c>
      <c r="F33" t="s">
        <v>54</v>
      </c>
      <c r="G33" t="s">
        <v>113</v>
      </c>
      <c r="H33" t="s">
        <v>44</v>
      </c>
      <c r="I33">
        <v>40</v>
      </c>
      <c r="J33">
        <v>10</v>
      </c>
      <c r="K33">
        <v>41</v>
      </c>
      <c r="L33">
        <v>1</v>
      </c>
      <c r="M33" t="s">
        <v>113</v>
      </c>
      <c r="N33" t="s">
        <v>45</v>
      </c>
      <c r="O33" t="s">
        <v>46</v>
      </c>
      <c r="P33">
        <v>9</v>
      </c>
      <c r="Q33" t="s">
        <v>171</v>
      </c>
      <c r="R33">
        <v>22</v>
      </c>
      <c r="S33" t="s">
        <v>172</v>
      </c>
      <c r="T33">
        <v>3</v>
      </c>
      <c r="U33">
        <v>4</v>
      </c>
      <c r="V33" t="s">
        <v>172</v>
      </c>
      <c r="X33">
        <f t="shared" si="0"/>
        <v>81</v>
      </c>
      <c r="AD33" t="b">
        <f t="shared" si="1"/>
        <v>1</v>
      </c>
      <c r="AG33" t="b">
        <f t="shared" si="2"/>
        <v>0</v>
      </c>
      <c r="AK33" t="str">
        <f t="shared" si="3"/>
        <v>Not Pakistan</v>
      </c>
      <c r="AL33" t="str">
        <f t="shared" si="4"/>
        <v>Not Pakistan</v>
      </c>
      <c r="AN33">
        <f t="shared" si="5"/>
        <v>37</v>
      </c>
      <c r="AX33">
        <f t="shared" si="6"/>
        <v>4</v>
      </c>
      <c r="BL33">
        <v>244</v>
      </c>
    </row>
    <row r="34" spans="1:64" x14ac:dyDescent="0.35">
      <c r="A34" t="s">
        <v>173</v>
      </c>
      <c r="B34" t="s">
        <v>174</v>
      </c>
      <c r="C34" t="s">
        <v>146</v>
      </c>
      <c r="D34" t="s">
        <v>41</v>
      </c>
      <c r="E34" t="s">
        <v>91</v>
      </c>
      <c r="F34" t="s">
        <v>43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  <c r="O34" t="s">
        <v>82</v>
      </c>
      <c r="P34" t="s">
        <v>82</v>
      </c>
      <c r="Q34" t="s">
        <v>82</v>
      </c>
      <c r="R34" t="s">
        <v>82</v>
      </c>
      <c r="S34" t="s">
        <v>82</v>
      </c>
      <c r="T34" t="s">
        <v>82</v>
      </c>
      <c r="U34" t="s">
        <v>82</v>
      </c>
      <c r="V34" t="s">
        <v>82</v>
      </c>
      <c r="X34">
        <f t="shared" si="0"/>
        <v>0</v>
      </c>
      <c r="AD34" t="b">
        <f t="shared" si="1"/>
        <v>0</v>
      </c>
      <c r="AG34" t="b">
        <f t="shared" si="2"/>
        <v>1</v>
      </c>
      <c r="AK34" t="str">
        <f t="shared" si="3"/>
        <v>Not Pakistan</v>
      </c>
      <c r="AL34" t="str">
        <f t="shared" si="4"/>
        <v>Not Pakistan</v>
      </c>
      <c r="AN34">
        <f t="shared" si="5"/>
        <v>61</v>
      </c>
      <c r="AX34" t="str">
        <f t="shared" si="6"/>
        <v>Error</v>
      </c>
      <c r="BL34">
        <v>249</v>
      </c>
    </row>
    <row r="35" spans="1:64" x14ac:dyDescent="0.35">
      <c r="A35" t="s">
        <v>175</v>
      </c>
      <c r="B35" t="s">
        <v>174</v>
      </c>
      <c r="C35" t="s">
        <v>134</v>
      </c>
      <c r="D35" t="s">
        <v>81</v>
      </c>
      <c r="E35" t="s">
        <v>60</v>
      </c>
      <c r="F35" t="s">
        <v>61</v>
      </c>
      <c r="G35" t="s">
        <v>60</v>
      </c>
      <c r="H35" t="s">
        <v>44</v>
      </c>
      <c r="I35">
        <v>122</v>
      </c>
      <c r="J35">
        <v>5</v>
      </c>
      <c r="K35">
        <v>84</v>
      </c>
      <c r="L35">
        <v>3</v>
      </c>
      <c r="M35" t="s">
        <v>81</v>
      </c>
      <c r="N35" t="s">
        <v>45</v>
      </c>
      <c r="O35" t="s">
        <v>76</v>
      </c>
      <c r="P35">
        <v>41</v>
      </c>
      <c r="Q35" t="s">
        <v>176</v>
      </c>
      <c r="R35">
        <v>47</v>
      </c>
      <c r="S35" t="s">
        <v>64</v>
      </c>
      <c r="T35">
        <v>1</v>
      </c>
      <c r="U35">
        <v>6</v>
      </c>
      <c r="V35" t="s">
        <v>176</v>
      </c>
      <c r="X35">
        <f t="shared" si="0"/>
        <v>206</v>
      </c>
      <c r="AD35" t="b">
        <f t="shared" si="1"/>
        <v>0</v>
      </c>
      <c r="AG35" t="b">
        <f t="shared" si="2"/>
        <v>0</v>
      </c>
      <c r="AK35" t="str">
        <f t="shared" si="3"/>
        <v>Not Pakistan</v>
      </c>
      <c r="AL35" t="str">
        <f t="shared" si="4"/>
        <v>Not Pakistan</v>
      </c>
      <c r="AN35">
        <f t="shared" si="5"/>
        <v>49</v>
      </c>
      <c r="AX35">
        <f t="shared" si="6"/>
        <v>24.4</v>
      </c>
      <c r="BL35">
        <v>258</v>
      </c>
    </row>
    <row r="36" spans="1:64" x14ac:dyDescent="0.35">
      <c r="A36" t="s">
        <v>177</v>
      </c>
      <c r="B36" t="s">
        <v>174</v>
      </c>
      <c r="C36" t="s">
        <v>178</v>
      </c>
      <c r="D36" t="s">
        <v>80</v>
      </c>
      <c r="E36" t="s">
        <v>98</v>
      </c>
      <c r="F36" t="s">
        <v>61</v>
      </c>
      <c r="G36" t="s">
        <v>98</v>
      </c>
      <c r="H36" t="s">
        <v>44</v>
      </c>
      <c r="I36">
        <v>180</v>
      </c>
      <c r="J36">
        <v>5</v>
      </c>
      <c r="K36">
        <v>186</v>
      </c>
      <c r="L36">
        <v>5</v>
      </c>
      <c r="M36" t="s">
        <v>98</v>
      </c>
      <c r="N36" t="s">
        <v>45</v>
      </c>
      <c r="O36" t="s">
        <v>46</v>
      </c>
      <c r="P36">
        <v>5</v>
      </c>
      <c r="Q36" t="s">
        <v>99</v>
      </c>
      <c r="R36">
        <v>59</v>
      </c>
      <c r="S36" t="s">
        <v>179</v>
      </c>
      <c r="T36">
        <v>2</v>
      </c>
      <c r="U36">
        <v>34</v>
      </c>
      <c r="V36" t="s">
        <v>99</v>
      </c>
      <c r="X36">
        <f t="shared" si="0"/>
        <v>366</v>
      </c>
      <c r="AD36" t="b">
        <f t="shared" si="1"/>
        <v>1</v>
      </c>
      <c r="AG36" t="b">
        <f t="shared" si="2"/>
        <v>0</v>
      </c>
      <c r="AK36" t="str">
        <f t="shared" si="3"/>
        <v>Not Pakistan</v>
      </c>
      <c r="AL36" t="str">
        <f t="shared" si="4"/>
        <v>Not Pakistan</v>
      </c>
      <c r="AN36">
        <f t="shared" si="5"/>
        <v>58</v>
      </c>
      <c r="AX36">
        <f t="shared" si="6"/>
        <v>36</v>
      </c>
      <c r="BL36">
        <v>259</v>
      </c>
    </row>
    <row r="37" spans="1:64" x14ac:dyDescent="0.35">
      <c r="A37" t="s">
        <v>180</v>
      </c>
      <c r="B37" t="s">
        <v>181</v>
      </c>
      <c r="C37" t="s">
        <v>146</v>
      </c>
      <c r="D37" t="s">
        <v>90</v>
      </c>
      <c r="E37" t="s">
        <v>102</v>
      </c>
      <c r="F37" t="s">
        <v>43</v>
      </c>
      <c r="G37" t="s">
        <v>102</v>
      </c>
      <c r="H37" t="s">
        <v>44</v>
      </c>
      <c r="I37">
        <v>106</v>
      </c>
      <c r="J37">
        <v>9</v>
      </c>
      <c r="K37">
        <v>111</v>
      </c>
      <c r="L37">
        <v>7</v>
      </c>
      <c r="M37" t="s">
        <v>102</v>
      </c>
      <c r="N37" t="s">
        <v>45</v>
      </c>
      <c r="O37" t="s">
        <v>46</v>
      </c>
      <c r="P37">
        <v>3</v>
      </c>
      <c r="Q37" t="s">
        <v>182</v>
      </c>
      <c r="R37">
        <v>32</v>
      </c>
      <c r="S37" t="s">
        <v>183</v>
      </c>
      <c r="T37">
        <v>3</v>
      </c>
      <c r="U37">
        <v>22</v>
      </c>
      <c r="V37" t="s">
        <v>183</v>
      </c>
      <c r="X37">
        <f t="shared" si="0"/>
        <v>217</v>
      </c>
      <c r="AD37" t="b">
        <f t="shared" si="1"/>
        <v>1</v>
      </c>
      <c r="AG37" t="b">
        <f t="shared" si="2"/>
        <v>0</v>
      </c>
      <c r="AK37" t="str">
        <f t="shared" si="3"/>
        <v>Pakistan</v>
      </c>
      <c r="AL37" t="str">
        <f t="shared" si="4"/>
        <v>Pakistan Won</v>
      </c>
      <c r="AN37">
        <f t="shared" si="5"/>
        <v>61</v>
      </c>
      <c r="AX37">
        <f t="shared" si="6"/>
        <v>11.777777777777779</v>
      </c>
      <c r="BL37">
        <v>262</v>
      </c>
    </row>
    <row r="38" spans="1:64" x14ac:dyDescent="0.35">
      <c r="A38" t="s">
        <v>184</v>
      </c>
      <c r="B38" t="s">
        <v>181</v>
      </c>
      <c r="C38" t="s">
        <v>159</v>
      </c>
      <c r="D38" t="s">
        <v>116</v>
      </c>
      <c r="E38" t="s">
        <v>84</v>
      </c>
      <c r="F38" t="s">
        <v>70</v>
      </c>
      <c r="G38" t="s">
        <v>84</v>
      </c>
      <c r="H38" t="s">
        <v>44</v>
      </c>
      <c r="I38">
        <v>106</v>
      </c>
      <c r="J38">
        <v>10</v>
      </c>
      <c r="K38">
        <v>85</v>
      </c>
      <c r="L38">
        <v>10</v>
      </c>
      <c r="M38" t="s">
        <v>116</v>
      </c>
      <c r="N38" t="s">
        <v>45</v>
      </c>
      <c r="O38" t="s">
        <v>76</v>
      </c>
      <c r="P38">
        <v>21</v>
      </c>
      <c r="Q38" t="s">
        <v>185</v>
      </c>
      <c r="R38">
        <v>27</v>
      </c>
      <c r="S38" t="s">
        <v>140</v>
      </c>
      <c r="T38">
        <v>4</v>
      </c>
      <c r="U38">
        <v>7</v>
      </c>
      <c r="V38" t="s">
        <v>140</v>
      </c>
      <c r="X38">
        <f t="shared" si="0"/>
        <v>191</v>
      </c>
      <c r="AD38" t="b">
        <f t="shared" si="1"/>
        <v>0</v>
      </c>
      <c r="AG38" t="b">
        <f t="shared" si="2"/>
        <v>0</v>
      </c>
      <c r="AK38" t="str">
        <f t="shared" si="3"/>
        <v>Not Pakistan</v>
      </c>
      <c r="AL38" t="str">
        <f t="shared" si="4"/>
        <v>Not Pakistan</v>
      </c>
      <c r="AN38">
        <f t="shared" si="5"/>
        <v>40</v>
      </c>
      <c r="AX38">
        <f t="shared" si="6"/>
        <v>10.6</v>
      </c>
      <c r="BL38">
        <v>275</v>
      </c>
    </row>
    <row r="39" spans="1:64" x14ac:dyDescent="0.35">
      <c r="A39" t="s">
        <v>186</v>
      </c>
      <c r="B39" t="s">
        <v>181</v>
      </c>
      <c r="C39" t="s">
        <v>178</v>
      </c>
      <c r="D39" t="s">
        <v>68</v>
      </c>
      <c r="E39" t="s">
        <v>85</v>
      </c>
      <c r="F39" t="s">
        <v>70</v>
      </c>
      <c r="G39" t="s">
        <v>85</v>
      </c>
      <c r="H39" t="s">
        <v>44</v>
      </c>
      <c r="I39">
        <v>201</v>
      </c>
      <c r="J39">
        <v>6</v>
      </c>
      <c r="K39">
        <v>118</v>
      </c>
      <c r="L39">
        <v>10</v>
      </c>
      <c r="M39" t="s">
        <v>68</v>
      </c>
      <c r="N39" t="s">
        <v>45</v>
      </c>
      <c r="O39" t="s">
        <v>76</v>
      </c>
      <c r="P39">
        <v>83</v>
      </c>
      <c r="Q39" t="s">
        <v>187</v>
      </c>
      <c r="R39">
        <v>46</v>
      </c>
      <c r="S39" t="s">
        <v>188</v>
      </c>
      <c r="T39">
        <v>3</v>
      </c>
      <c r="U39">
        <v>24</v>
      </c>
      <c r="V39" t="s">
        <v>187</v>
      </c>
      <c r="X39">
        <f t="shared" si="0"/>
        <v>319</v>
      </c>
      <c r="AD39" t="b">
        <f t="shared" si="1"/>
        <v>0</v>
      </c>
      <c r="AG39" t="b">
        <f t="shared" si="2"/>
        <v>0</v>
      </c>
      <c r="AK39" t="str">
        <f t="shared" si="3"/>
        <v>Not Pakistan</v>
      </c>
      <c r="AL39" t="str">
        <f t="shared" si="4"/>
        <v>Not Pakistan</v>
      </c>
      <c r="AN39">
        <f t="shared" si="5"/>
        <v>58</v>
      </c>
      <c r="AX39">
        <f t="shared" si="6"/>
        <v>33.5</v>
      </c>
      <c r="BL39">
        <v>285</v>
      </c>
    </row>
    <row r="40" spans="1:64" x14ac:dyDescent="0.35">
      <c r="A40" t="s">
        <v>189</v>
      </c>
      <c r="B40" t="s">
        <v>190</v>
      </c>
      <c r="C40" t="s">
        <v>154</v>
      </c>
      <c r="D40" t="s">
        <v>52</v>
      </c>
      <c r="E40" t="s">
        <v>113</v>
      </c>
      <c r="F40" t="s">
        <v>54</v>
      </c>
      <c r="G40" t="s">
        <v>113</v>
      </c>
      <c r="H40" t="s">
        <v>44</v>
      </c>
      <c r="I40">
        <v>78</v>
      </c>
      <c r="J40">
        <v>10</v>
      </c>
      <c r="K40">
        <v>79</v>
      </c>
      <c r="L40">
        <v>3</v>
      </c>
      <c r="M40" t="s">
        <v>113</v>
      </c>
      <c r="N40" t="s">
        <v>45</v>
      </c>
      <c r="O40" t="s">
        <v>46</v>
      </c>
      <c r="P40">
        <v>7</v>
      </c>
      <c r="Q40" t="s">
        <v>171</v>
      </c>
      <c r="R40">
        <v>35</v>
      </c>
      <c r="S40" t="s">
        <v>191</v>
      </c>
      <c r="T40">
        <v>3</v>
      </c>
      <c r="U40">
        <v>0</v>
      </c>
      <c r="V40" t="s">
        <v>191</v>
      </c>
      <c r="X40">
        <f t="shared" si="0"/>
        <v>157</v>
      </c>
      <c r="AD40" t="b">
        <f t="shared" si="1"/>
        <v>1</v>
      </c>
      <c r="AG40" t="b">
        <f t="shared" si="2"/>
        <v>0</v>
      </c>
      <c r="AK40" t="str">
        <f t="shared" si="3"/>
        <v>Not Pakistan</v>
      </c>
      <c r="AL40" t="str">
        <f t="shared" si="4"/>
        <v>Not Pakistan</v>
      </c>
      <c r="AN40">
        <f t="shared" si="5"/>
        <v>37</v>
      </c>
      <c r="AX40">
        <f t="shared" si="6"/>
        <v>7.8</v>
      </c>
      <c r="BL40">
        <v>289</v>
      </c>
    </row>
    <row r="41" spans="1:64" x14ac:dyDescent="0.35">
      <c r="A41" t="s">
        <v>192</v>
      </c>
      <c r="B41" t="s">
        <v>190</v>
      </c>
      <c r="C41" t="s">
        <v>178</v>
      </c>
      <c r="D41" t="s">
        <v>127</v>
      </c>
      <c r="E41" t="s">
        <v>53</v>
      </c>
      <c r="F41" t="s">
        <v>54</v>
      </c>
      <c r="G41" t="s">
        <v>53</v>
      </c>
      <c r="H41" t="s">
        <v>44</v>
      </c>
      <c r="I41">
        <v>218</v>
      </c>
      <c r="J41">
        <v>5</v>
      </c>
      <c r="K41">
        <v>114</v>
      </c>
      <c r="L41">
        <v>10</v>
      </c>
      <c r="M41" t="s">
        <v>127</v>
      </c>
      <c r="N41" t="s">
        <v>45</v>
      </c>
      <c r="O41" t="s">
        <v>76</v>
      </c>
      <c r="P41">
        <v>104</v>
      </c>
      <c r="Q41" t="s">
        <v>193</v>
      </c>
      <c r="R41">
        <v>98</v>
      </c>
      <c r="S41" t="s">
        <v>194</v>
      </c>
      <c r="T41">
        <v>3</v>
      </c>
      <c r="U41">
        <v>14</v>
      </c>
      <c r="V41" t="s">
        <v>193</v>
      </c>
      <c r="X41">
        <f t="shared" si="0"/>
        <v>332</v>
      </c>
      <c r="AD41" t="b">
        <f t="shared" si="1"/>
        <v>0</v>
      </c>
      <c r="AG41" t="b">
        <f t="shared" si="2"/>
        <v>0</v>
      </c>
      <c r="AK41" t="str">
        <f t="shared" si="3"/>
        <v>Not Pakistan</v>
      </c>
      <c r="AL41" t="str">
        <f t="shared" si="4"/>
        <v>Not Pakistan</v>
      </c>
      <c r="AN41">
        <f t="shared" si="5"/>
        <v>58</v>
      </c>
      <c r="AX41">
        <f t="shared" si="6"/>
        <v>43.6</v>
      </c>
      <c r="BL41">
        <v>293</v>
      </c>
    </row>
    <row r="42" spans="1:64" x14ac:dyDescent="0.35">
      <c r="A42" t="s">
        <v>195</v>
      </c>
      <c r="B42" t="s">
        <v>196</v>
      </c>
      <c r="C42" t="s">
        <v>134</v>
      </c>
      <c r="D42" t="s">
        <v>69</v>
      </c>
      <c r="E42" t="s">
        <v>42</v>
      </c>
      <c r="F42" t="s">
        <v>43</v>
      </c>
      <c r="G42" t="s">
        <v>42</v>
      </c>
      <c r="H42" t="s">
        <v>44</v>
      </c>
      <c r="I42">
        <v>194</v>
      </c>
      <c r="J42">
        <v>4</v>
      </c>
      <c r="K42">
        <v>176</v>
      </c>
      <c r="L42">
        <v>6</v>
      </c>
      <c r="M42" t="s">
        <v>69</v>
      </c>
      <c r="N42" t="s">
        <v>45</v>
      </c>
      <c r="O42" t="s">
        <v>76</v>
      </c>
      <c r="P42">
        <v>18</v>
      </c>
      <c r="Q42" t="s">
        <v>72</v>
      </c>
      <c r="R42">
        <v>74</v>
      </c>
      <c r="S42" t="s">
        <v>197</v>
      </c>
      <c r="T42">
        <v>3</v>
      </c>
      <c r="U42">
        <v>18</v>
      </c>
      <c r="V42" t="s">
        <v>72</v>
      </c>
      <c r="X42">
        <f t="shared" si="0"/>
        <v>370</v>
      </c>
      <c r="AD42" t="b">
        <f t="shared" si="1"/>
        <v>0</v>
      </c>
      <c r="AG42" t="b">
        <f t="shared" si="2"/>
        <v>0</v>
      </c>
      <c r="AK42" t="str">
        <f t="shared" si="3"/>
        <v>Not Pakistan</v>
      </c>
      <c r="AL42" t="str">
        <f t="shared" si="4"/>
        <v>Not Pakistan</v>
      </c>
      <c r="AN42">
        <f t="shared" si="5"/>
        <v>49</v>
      </c>
      <c r="AX42">
        <f t="shared" si="6"/>
        <v>48.5</v>
      </c>
      <c r="BL42">
        <v>303</v>
      </c>
    </row>
    <row r="43" spans="1:64" x14ac:dyDescent="0.35">
      <c r="A43" t="s">
        <v>198</v>
      </c>
      <c r="B43" t="s">
        <v>196</v>
      </c>
      <c r="C43" t="s">
        <v>178</v>
      </c>
      <c r="D43" t="s">
        <v>127</v>
      </c>
      <c r="E43" t="s">
        <v>81</v>
      </c>
      <c r="F43" t="s">
        <v>199</v>
      </c>
      <c r="G43" t="s">
        <v>81</v>
      </c>
      <c r="H43" t="s">
        <v>44</v>
      </c>
      <c r="I43">
        <v>180</v>
      </c>
      <c r="J43">
        <v>4</v>
      </c>
      <c r="K43">
        <v>181</v>
      </c>
      <c r="L43">
        <v>2</v>
      </c>
      <c r="M43" t="s">
        <v>81</v>
      </c>
      <c r="N43" t="s">
        <v>45</v>
      </c>
      <c r="O43" t="s">
        <v>46</v>
      </c>
      <c r="P43">
        <v>8</v>
      </c>
      <c r="Q43" t="s">
        <v>200</v>
      </c>
      <c r="R43">
        <v>87</v>
      </c>
      <c r="S43" t="s">
        <v>163</v>
      </c>
      <c r="T43">
        <v>1</v>
      </c>
      <c r="U43">
        <v>15</v>
      </c>
      <c r="V43" t="s">
        <v>200</v>
      </c>
      <c r="X43">
        <f t="shared" si="0"/>
        <v>361</v>
      </c>
      <c r="AD43" t="b">
        <f t="shared" si="1"/>
        <v>1</v>
      </c>
      <c r="AG43" t="b">
        <f t="shared" si="2"/>
        <v>0</v>
      </c>
      <c r="AK43" t="str">
        <f t="shared" si="3"/>
        <v>Not Pakistan</v>
      </c>
      <c r="AL43" t="str">
        <f t="shared" si="4"/>
        <v>Not Pakistan</v>
      </c>
      <c r="AN43">
        <f t="shared" si="5"/>
        <v>58</v>
      </c>
      <c r="AX43">
        <f t="shared" si="6"/>
        <v>45</v>
      </c>
      <c r="BL43">
        <v>312</v>
      </c>
    </row>
    <row r="44" spans="1:64" x14ac:dyDescent="0.35">
      <c r="A44" t="s">
        <v>201</v>
      </c>
      <c r="B44" t="s">
        <v>202</v>
      </c>
      <c r="C44" t="s">
        <v>58</v>
      </c>
      <c r="D44" t="s">
        <v>91</v>
      </c>
      <c r="E44" t="s">
        <v>53</v>
      </c>
      <c r="F44" t="s">
        <v>203</v>
      </c>
      <c r="G44" t="s">
        <v>91</v>
      </c>
      <c r="H44" t="s">
        <v>71</v>
      </c>
      <c r="I44">
        <v>181</v>
      </c>
      <c r="J44">
        <v>8</v>
      </c>
      <c r="K44">
        <v>134</v>
      </c>
      <c r="L44">
        <v>10</v>
      </c>
      <c r="M44" t="s">
        <v>91</v>
      </c>
      <c r="N44" t="s">
        <v>45</v>
      </c>
      <c r="O44" t="s">
        <v>76</v>
      </c>
      <c r="P44">
        <v>47</v>
      </c>
      <c r="Q44" t="s">
        <v>151</v>
      </c>
      <c r="R44">
        <v>53</v>
      </c>
      <c r="S44" t="s">
        <v>114</v>
      </c>
      <c r="T44">
        <v>3</v>
      </c>
      <c r="U44">
        <v>26</v>
      </c>
      <c r="V44" t="s">
        <v>151</v>
      </c>
      <c r="X44">
        <f t="shared" si="0"/>
        <v>315</v>
      </c>
      <c r="AD44" t="b">
        <f t="shared" si="1"/>
        <v>0</v>
      </c>
      <c r="AG44" t="b">
        <f t="shared" si="2"/>
        <v>0</v>
      </c>
      <c r="AK44" t="str">
        <f t="shared" si="3"/>
        <v>Not Pakistan</v>
      </c>
      <c r="AL44" t="str">
        <f t="shared" si="4"/>
        <v>Not Pakistan</v>
      </c>
      <c r="AN44">
        <f t="shared" si="5"/>
        <v>37</v>
      </c>
      <c r="AX44">
        <f t="shared" si="6"/>
        <v>22.625</v>
      </c>
      <c r="BL44">
        <v>315</v>
      </c>
    </row>
    <row r="45" spans="1:64" x14ac:dyDescent="0.35">
      <c r="A45" t="s">
        <v>204</v>
      </c>
      <c r="B45" t="s">
        <v>202</v>
      </c>
      <c r="C45" t="s">
        <v>134</v>
      </c>
      <c r="D45" t="s">
        <v>116</v>
      </c>
      <c r="E45" t="s">
        <v>98</v>
      </c>
      <c r="F45" t="s">
        <v>203</v>
      </c>
      <c r="G45" t="s">
        <v>98</v>
      </c>
      <c r="H45" t="s">
        <v>44</v>
      </c>
      <c r="I45">
        <v>140</v>
      </c>
      <c r="J45">
        <v>8</v>
      </c>
      <c r="K45">
        <v>100</v>
      </c>
      <c r="L45">
        <v>2</v>
      </c>
      <c r="M45" t="s">
        <v>98</v>
      </c>
      <c r="N45" t="s">
        <v>205</v>
      </c>
      <c r="O45" t="s">
        <v>76</v>
      </c>
      <c r="P45">
        <v>28</v>
      </c>
      <c r="Q45" t="s">
        <v>206</v>
      </c>
      <c r="R45">
        <v>53</v>
      </c>
      <c r="S45" t="s">
        <v>207</v>
      </c>
      <c r="T45">
        <v>3</v>
      </c>
      <c r="U45">
        <v>29</v>
      </c>
      <c r="V45" t="s">
        <v>207</v>
      </c>
      <c r="X45">
        <f t="shared" si="0"/>
        <v>240</v>
      </c>
      <c r="AD45" t="b">
        <f t="shared" si="1"/>
        <v>0</v>
      </c>
      <c r="AG45" t="b">
        <f t="shared" si="2"/>
        <v>0</v>
      </c>
      <c r="AK45" t="str">
        <f t="shared" si="3"/>
        <v>Not Pakistan</v>
      </c>
      <c r="AL45" t="str">
        <f t="shared" si="4"/>
        <v>Not Pakistan</v>
      </c>
      <c r="AN45">
        <f t="shared" si="5"/>
        <v>49</v>
      </c>
      <c r="AX45">
        <f t="shared" si="6"/>
        <v>17.5</v>
      </c>
      <c r="BL45">
        <v>319</v>
      </c>
    </row>
    <row r="46" spans="1:64" x14ac:dyDescent="0.35">
      <c r="A46" t="s">
        <v>208</v>
      </c>
      <c r="B46" t="s">
        <v>209</v>
      </c>
      <c r="C46" t="s">
        <v>178</v>
      </c>
      <c r="D46" t="s">
        <v>69</v>
      </c>
      <c r="E46" t="s">
        <v>81</v>
      </c>
      <c r="F46" t="s">
        <v>199</v>
      </c>
      <c r="G46" t="s">
        <v>81</v>
      </c>
      <c r="H46" t="s">
        <v>44</v>
      </c>
      <c r="I46">
        <v>163</v>
      </c>
      <c r="J46">
        <v>6</v>
      </c>
      <c r="K46">
        <v>156</v>
      </c>
      <c r="L46">
        <v>6</v>
      </c>
      <c r="M46" t="s">
        <v>69</v>
      </c>
      <c r="N46" t="s">
        <v>45</v>
      </c>
      <c r="O46" t="s">
        <v>76</v>
      </c>
      <c r="P46">
        <v>7</v>
      </c>
      <c r="Q46" t="s">
        <v>72</v>
      </c>
      <c r="R46">
        <v>65</v>
      </c>
      <c r="S46" t="s">
        <v>210</v>
      </c>
      <c r="T46">
        <v>3</v>
      </c>
      <c r="U46">
        <v>40</v>
      </c>
      <c r="V46" t="s">
        <v>72</v>
      </c>
      <c r="X46">
        <f t="shared" si="0"/>
        <v>319</v>
      </c>
      <c r="AD46" t="b">
        <f t="shared" si="1"/>
        <v>0</v>
      </c>
      <c r="AG46" t="b">
        <f t="shared" si="2"/>
        <v>0</v>
      </c>
      <c r="AK46" t="str">
        <f t="shared" si="3"/>
        <v>Not Pakistan</v>
      </c>
      <c r="AL46" t="str">
        <f t="shared" si="4"/>
        <v>Not Pakistan</v>
      </c>
      <c r="AN46">
        <f t="shared" si="5"/>
        <v>58</v>
      </c>
      <c r="AX46">
        <f t="shared" si="6"/>
        <v>27.166666666666668</v>
      </c>
      <c r="BL46">
        <v>319</v>
      </c>
    </row>
    <row r="47" spans="1:64" x14ac:dyDescent="0.35">
      <c r="A47" t="s">
        <v>211</v>
      </c>
      <c r="B47" t="s">
        <v>209</v>
      </c>
      <c r="C47" t="s">
        <v>58</v>
      </c>
      <c r="D47" t="s">
        <v>42</v>
      </c>
      <c r="E47" t="s">
        <v>127</v>
      </c>
      <c r="F47" t="s">
        <v>199</v>
      </c>
      <c r="G47" t="s">
        <v>127</v>
      </c>
      <c r="H47" t="s">
        <v>44</v>
      </c>
      <c r="I47">
        <v>128</v>
      </c>
      <c r="J47">
        <v>10</v>
      </c>
      <c r="K47">
        <v>130</v>
      </c>
      <c r="L47">
        <v>1</v>
      </c>
      <c r="M47" t="s">
        <v>127</v>
      </c>
      <c r="N47" t="s">
        <v>45</v>
      </c>
      <c r="O47" t="s">
        <v>46</v>
      </c>
      <c r="P47">
        <v>9</v>
      </c>
      <c r="Q47" t="s">
        <v>212</v>
      </c>
      <c r="R47">
        <v>82</v>
      </c>
      <c r="S47" t="s">
        <v>213</v>
      </c>
      <c r="T47">
        <v>3</v>
      </c>
      <c r="U47">
        <v>19</v>
      </c>
      <c r="V47" t="s">
        <v>213</v>
      </c>
      <c r="X47">
        <f t="shared" si="0"/>
        <v>258</v>
      </c>
      <c r="AD47" t="b">
        <f t="shared" si="1"/>
        <v>1</v>
      </c>
      <c r="AG47" t="b">
        <f t="shared" si="2"/>
        <v>0</v>
      </c>
      <c r="AK47" t="str">
        <f t="shared" si="3"/>
        <v>Not Pakistan</v>
      </c>
      <c r="AL47" t="str">
        <f t="shared" si="4"/>
        <v>Not Pakistan</v>
      </c>
      <c r="AN47">
        <f t="shared" si="5"/>
        <v>37</v>
      </c>
      <c r="AX47">
        <f t="shared" si="6"/>
        <v>12.8</v>
      </c>
      <c r="BL47">
        <v>319</v>
      </c>
    </row>
    <row r="48" spans="1:64" x14ac:dyDescent="0.35">
      <c r="A48" t="s">
        <v>214</v>
      </c>
      <c r="B48" t="s">
        <v>215</v>
      </c>
      <c r="C48" t="s">
        <v>134</v>
      </c>
      <c r="D48" t="s">
        <v>91</v>
      </c>
      <c r="E48" t="s">
        <v>116</v>
      </c>
      <c r="F48" t="s">
        <v>203</v>
      </c>
      <c r="G48" t="s">
        <v>116</v>
      </c>
      <c r="H48" t="s">
        <v>44</v>
      </c>
      <c r="I48">
        <v>196</v>
      </c>
      <c r="J48">
        <v>5</v>
      </c>
      <c r="K48">
        <v>146</v>
      </c>
      <c r="L48">
        <v>8</v>
      </c>
      <c r="M48" t="s">
        <v>91</v>
      </c>
      <c r="N48" t="s">
        <v>45</v>
      </c>
      <c r="O48" t="s">
        <v>76</v>
      </c>
      <c r="P48">
        <v>50</v>
      </c>
      <c r="Q48" t="s">
        <v>216</v>
      </c>
      <c r="R48">
        <v>50</v>
      </c>
      <c r="S48" t="s">
        <v>217</v>
      </c>
      <c r="T48">
        <v>3</v>
      </c>
      <c r="U48">
        <v>19</v>
      </c>
      <c r="V48" t="s">
        <v>216</v>
      </c>
      <c r="X48">
        <f t="shared" si="0"/>
        <v>342</v>
      </c>
      <c r="AD48" t="b">
        <f t="shared" si="1"/>
        <v>0</v>
      </c>
      <c r="AG48" t="b">
        <f t="shared" si="2"/>
        <v>0</v>
      </c>
      <c r="AK48" t="str">
        <f t="shared" si="3"/>
        <v>Not Pakistan</v>
      </c>
      <c r="AL48" t="str">
        <f t="shared" si="4"/>
        <v>Not Pakistan</v>
      </c>
      <c r="AN48">
        <f t="shared" si="5"/>
        <v>49</v>
      </c>
      <c r="AX48">
        <f t="shared" si="6"/>
        <v>39.200000000000003</v>
      </c>
      <c r="BL48">
        <v>332</v>
      </c>
    </row>
    <row r="49" spans="1:64" x14ac:dyDescent="0.35">
      <c r="A49" t="s">
        <v>218</v>
      </c>
      <c r="B49" t="s">
        <v>215</v>
      </c>
      <c r="C49" t="s">
        <v>159</v>
      </c>
      <c r="D49" t="s">
        <v>53</v>
      </c>
      <c r="E49" t="s">
        <v>98</v>
      </c>
      <c r="F49" t="s">
        <v>203</v>
      </c>
      <c r="G49" t="s">
        <v>98</v>
      </c>
      <c r="H49" t="s">
        <v>44</v>
      </c>
      <c r="I49">
        <v>148</v>
      </c>
      <c r="J49">
        <v>6</v>
      </c>
      <c r="K49">
        <v>127</v>
      </c>
      <c r="L49">
        <v>10</v>
      </c>
      <c r="M49" t="s">
        <v>53</v>
      </c>
      <c r="N49" t="s">
        <v>45</v>
      </c>
      <c r="O49" t="s">
        <v>76</v>
      </c>
      <c r="P49">
        <v>21</v>
      </c>
      <c r="Q49" t="s">
        <v>77</v>
      </c>
      <c r="R49">
        <v>60</v>
      </c>
      <c r="S49" t="s">
        <v>55</v>
      </c>
      <c r="T49">
        <v>4</v>
      </c>
      <c r="U49">
        <v>20</v>
      </c>
      <c r="V49" t="s">
        <v>55</v>
      </c>
      <c r="X49">
        <f t="shared" si="0"/>
        <v>275</v>
      </c>
      <c r="AD49" t="b">
        <f t="shared" si="1"/>
        <v>0</v>
      </c>
      <c r="AG49" t="b">
        <f t="shared" si="2"/>
        <v>0</v>
      </c>
      <c r="AK49" t="str">
        <f t="shared" si="3"/>
        <v>Not Pakistan</v>
      </c>
      <c r="AL49" t="str">
        <f t="shared" si="4"/>
        <v>Not Pakistan</v>
      </c>
      <c r="AN49">
        <f t="shared" si="5"/>
        <v>40</v>
      </c>
      <c r="AX49">
        <f t="shared" si="6"/>
        <v>24.666666666666668</v>
      </c>
      <c r="BL49">
        <v>342</v>
      </c>
    </row>
    <row r="50" spans="1:64" x14ac:dyDescent="0.35">
      <c r="A50" t="s">
        <v>219</v>
      </c>
      <c r="B50" t="s">
        <v>220</v>
      </c>
      <c r="C50" t="s">
        <v>58</v>
      </c>
      <c r="D50" t="s">
        <v>42</v>
      </c>
      <c r="E50" t="s">
        <v>81</v>
      </c>
      <c r="F50" t="s">
        <v>199</v>
      </c>
      <c r="G50" t="s">
        <v>81</v>
      </c>
      <c r="H50" t="s">
        <v>44</v>
      </c>
      <c r="I50">
        <v>115</v>
      </c>
      <c r="J50">
        <v>10</v>
      </c>
      <c r="K50">
        <v>117</v>
      </c>
      <c r="L50">
        <v>0</v>
      </c>
      <c r="M50" t="s">
        <v>81</v>
      </c>
      <c r="N50" t="s">
        <v>45</v>
      </c>
      <c r="O50" t="s">
        <v>46</v>
      </c>
      <c r="P50">
        <v>10</v>
      </c>
      <c r="Q50" t="s">
        <v>124</v>
      </c>
      <c r="R50">
        <v>83</v>
      </c>
      <c r="S50" t="s">
        <v>163</v>
      </c>
      <c r="T50">
        <v>2</v>
      </c>
      <c r="U50">
        <v>13</v>
      </c>
      <c r="V50" t="s">
        <v>163</v>
      </c>
      <c r="X50">
        <f t="shared" si="0"/>
        <v>232</v>
      </c>
      <c r="AD50" t="b">
        <f t="shared" si="1"/>
        <v>1</v>
      </c>
      <c r="AG50" t="b">
        <f t="shared" si="2"/>
        <v>0</v>
      </c>
      <c r="AK50" t="str">
        <f t="shared" si="3"/>
        <v>Not Pakistan</v>
      </c>
      <c r="AL50" t="str">
        <f t="shared" si="4"/>
        <v>Not Pakistan</v>
      </c>
      <c r="AN50">
        <f t="shared" si="5"/>
        <v>37</v>
      </c>
      <c r="AX50">
        <f t="shared" si="6"/>
        <v>11.5</v>
      </c>
      <c r="BL50">
        <v>345</v>
      </c>
    </row>
    <row r="51" spans="1:64" x14ac:dyDescent="0.35">
      <c r="A51" t="s">
        <v>221</v>
      </c>
      <c r="B51" t="s">
        <v>220</v>
      </c>
      <c r="C51" t="s">
        <v>134</v>
      </c>
      <c r="D51" t="s">
        <v>127</v>
      </c>
      <c r="E51" t="s">
        <v>69</v>
      </c>
      <c r="F51" t="s">
        <v>199</v>
      </c>
      <c r="G51" t="s">
        <v>69</v>
      </c>
      <c r="H51" t="s">
        <v>44</v>
      </c>
      <c r="I51">
        <v>135</v>
      </c>
      <c r="J51">
        <v>8</v>
      </c>
      <c r="K51">
        <v>124</v>
      </c>
      <c r="L51">
        <v>7</v>
      </c>
      <c r="M51" t="s">
        <v>69</v>
      </c>
      <c r="N51" t="s">
        <v>205</v>
      </c>
      <c r="O51" t="s">
        <v>46</v>
      </c>
      <c r="P51">
        <v>3</v>
      </c>
      <c r="Q51" t="s">
        <v>213</v>
      </c>
      <c r="R51">
        <v>52</v>
      </c>
      <c r="S51" t="s">
        <v>169</v>
      </c>
      <c r="T51">
        <v>3</v>
      </c>
      <c r="U51">
        <v>27</v>
      </c>
      <c r="V51" t="s">
        <v>169</v>
      </c>
      <c r="X51">
        <f t="shared" si="0"/>
        <v>259</v>
      </c>
      <c r="AD51" t="b">
        <f t="shared" si="1"/>
        <v>1</v>
      </c>
      <c r="AG51" t="b">
        <f t="shared" si="2"/>
        <v>0</v>
      </c>
      <c r="AK51" t="str">
        <f t="shared" si="3"/>
        <v>Not Pakistan</v>
      </c>
      <c r="AL51" t="str">
        <f t="shared" si="4"/>
        <v>Not Pakistan</v>
      </c>
      <c r="AN51">
        <f t="shared" si="5"/>
        <v>49</v>
      </c>
      <c r="AX51">
        <f t="shared" si="6"/>
        <v>16.875</v>
      </c>
      <c r="BL51">
        <v>361</v>
      </c>
    </row>
    <row r="52" spans="1:64" x14ac:dyDescent="0.35">
      <c r="A52" t="s">
        <v>222</v>
      </c>
      <c r="B52" t="s">
        <v>223</v>
      </c>
      <c r="C52" t="s">
        <v>178</v>
      </c>
      <c r="D52" t="s">
        <v>91</v>
      </c>
      <c r="E52" t="s">
        <v>98</v>
      </c>
      <c r="F52" t="s">
        <v>203</v>
      </c>
      <c r="G52" t="s">
        <v>98</v>
      </c>
      <c r="H52" t="s">
        <v>44</v>
      </c>
      <c r="I52">
        <v>205</v>
      </c>
      <c r="J52">
        <v>5</v>
      </c>
      <c r="K52">
        <v>181</v>
      </c>
      <c r="L52">
        <v>7</v>
      </c>
      <c r="M52" t="s">
        <v>91</v>
      </c>
      <c r="N52" t="s">
        <v>45</v>
      </c>
      <c r="O52" t="s">
        <v>76</v>
      </c>
      <c r="P52">
        <v>24</v>
      </c>
      <c r="Q52" t="s">
        <v>92</v>
      </c>
      <c r="R52">
        <v>92</v>
      </c>
      <c r="S52" t="s">
        <v>152</v>
      </c>
      <c r="T52">
        <v>3</v>
      </c>
      <c r="U52">
        <v>37</v>
      </c>
      <c r="V52" t="s">
        <v>92</v>
      </c>
      <c r="X52">
        <f t="shared" si="0"/>
        <v>386</v>
      </c>
      <c r="AD52" t="b">
        <f t="shared" si="1"/>
        <v>0</v>
      </c>
      <c r="AG52" t="b">
        <f t="shared" si="2"/>
        <v>0</v>
      </c>
      <c r="AK52" t="str">
        <f t="shared" si="3"/>
        <v>Not Pakistan</v>
      </c>
      <c r="AL52" t="str">
        <f t="shared" si="4"/>
        <v>Not Pakistan</v>
      </c>
      <c r="AN52">
        <f t="shared" si="5"/>
        <v>58</v>
      </c>
      <c r="AX52">
        <f t="shared" si="6"/>
        <v>41</v>
      </c>
      <c r="BL52">
        <v>366</v>
      </c>
    </row>
    <row r="53" spans="1:64" x14ac:dyDescent="0.35">
      <c r="A53" t="s">
        <v>224</v>
      </c>
      <c r="B53" t="s">
        <v>223</v>
      </c>
      <c r="C53" t="s">
        <v>159</v>
      </c>
      <c r="D53" t="s">
        <v>53</v>
      </c>
      <c r="E53" t="s">
        <v>116</v>
      </c>
      <c r="F53" t="s">
        <v>203</v>
      </c>
      <c r="G53" t="s">
        <v>53</v>
      </c>
      <c r="H53" t="s">
        <v>71</v>
      </c>
      <c r="I53">
        <v>115</v>
      </c>
      <c r="J53">
        <v>5</v>
      </c>
      <c r="K53">
        <v>105</v>
      </c>
      <c r="L53">
        <v>10</v>
      </c>
      <c r="M53" t="s">
        <v>53</v>
      </c>
      <c r="N53" t="s">
        <v>205</v>
      </c>
      <c r="O53" t="s">
        <v>76</v>
      </c>
      <c r="P53">
        <v>8</v>
      </c>
      <c r="Q53" t="s">
        <v>225</v>
      </c>
      <c r="R53">
        <v>54</v>
      </c>
      <c r="S53" t="s">
        <v>114</v>
      </c>
      <c r="T53">
        <v>4</v>
      </c>
      <c r="U53">
        <v>23</v>
      </c>
      <c r="V53" t="s">
        <v>226</v>
      </c>
      <c r="X53">
        <f t="shared" si="0"/>
        <v>220</v>
      </c>
      <c r="AD53" t="b">
        <f t="shared" si="1"/>
        <v>0</v>
      </c>
      <c r="AG53" t="b">
        <f t="shared" si="2"/>
        <v>0</v>
      </c>
      <c r="AK53" t="str">
        <f t="shared" si="3"/>
        <v>Not Pakistan</v>
      </c>
      <c r="AL53" t="str">
        <f t="shared" si="4"/>
        <v>Not Pakistan</v>
      </c>
      <c r="AN53">
        <f t="shared" si="5"/>
        <v>40</v>
      </c>
      <c r="AX53">
        <f t="shared" si="6"/>
        <v>23</v>
      </c>
      <c r="BL53">
        <v>366</v>
      </c>
    </row>
    <row r="54" spans="1:64" x14ac:dyDescent="0.35">
      <c r="A54" t="s">
        <v>227</v>
      </c>
      <c r="B54" t="s">
        <v>228</v>
      </c>
      <c r="C54" t="s">
        <v>154</v>
      </c>
      <c r="D54" t="s">
        <v>53</v>
      </c>
      <c r="E54" t="s">
        <v>69</v>
      </c>
      <c r="F54" t="s">
        <v>229</v>
      </c>
      <c r="G54" t="s">
        <v>53</v>
      </c>
      <c r="H54" t="s">
        <v>71</v>
      </c>
      <c r="I54">
        <v>56</v>
      </c>
      <c r="J54">
        <v>10</v>
      </c>
      <c r="K54">
        <v>60</v>
      </c>
      <c r="L54">
        <v>1</v>
      </c>
      <c r="M54" t="s">
        <v>69</v>
      </c>
      <c r="N54" t="s">
        <v>45</v>
      </c>
      <c r="O54" t="s">
        <v>46</v>
      </c>
      <c r="P54">
        <v>9</v>
      </c>
      <c r="Q54" t="s">
        <v>168</v>
      </c>
      <c r="R54">
        <v>29</v>
      </c>
      <c r="S54" t="s">
        <v>230</v>
      </c>
      <c r="T54">
        <v>3</v>
      </c>
      <c r="U54">
        <v>16</v>
      </c>
      <c r="V54" t="s">
        <v>230</v>
      </c>
      <c r="X54">
        <f t="shared" si="0"/>
        <v>116</v>
      </c>
      <c r="AD54" t="b">
        <f t="shared" si="1"/>
        <v>0</v>
      </c>
      <c r="AG54" t="b">
        <f t="shared" si="2"/>
        <v>0</v>
      </c>
      <c r="AK54" t="str">
        <f t="shared" si="3"/>
        <v>Not Pakistan</v>
      </c>
      <c r="AL54" t="str">
        <f t="shared" si="4"/>
        <v>Not Pakistan</v>
      </c>
      <c r="AN54">
        <f t="shared" si="5"/>
        <v>37</v>
      </c>
      <c r="AX54">
        <f t="shared" si="6"/>
        <v>5.6</v>
      </c>
      <c r="BL54">
        <v>370</v>
      </c>
    </row>
    <row r="55" spans="1:64" x14ac:dyDescent="0.35">
      <c r="A55" t="s">
        <v>231</v>
      </c>
      <c r="B55" t="s">
        <v>232</v>
      </c>
      <c r="C55" t="s">
        <v>51</v>
      </c>
      <c r="D55" t="s">
        <v>91</v>
      </c>
      <c r="E55" t="s">
        <v>81</v>
      </c>
      <c r="F55" t="s">
        <v>233</v>
      </c>
      <c r="G55" t="s">
        <v>81</v>
      </c>
      <c r="H55" t="s">
        <v>44</v>
      </c>
      <c r="I55">
        <v>141</v>
      </c>
      <c r="J55">
        <v>7</v>
      </c>
      <c r="K55">
        <v>103</v>
      </c>
      <c r="L55">
        <v>10</v>
      </c>
      <c r="M55" t="s">
        <v>91</v>
      </c>
      <c r="N55" t="s">
        <v>45</v>
      </c>
      <c r="O55" t="s">
        <v>76</v>
      </c>
      <c r="P55">
        <v>68</v>
      </c>
      <c r="Q55" t="s">
        <v>92</v>
      </c>
      <c r="R55">
        <v>57</v>
      </c>
      <c r="S55" t="s">
        <v>234</v>
      </c>
      <c r="T55">
        <v>3</v>
      </c>
      <c r="U55">
        <v>23</v>
      </c>
      <c r="V55" t="s">
        <v>234</v>
      </c>
      <c r="X55">
        <f t="shared" si="0"/>
        <v>244</v>
      </c>
      <c r="AD55" t="b">
        <f t="shared" si="1"/>
        <v>0</v>
      </c>
      <c r="AG55" t="b">
        <f t="shared" si="2"/>
        <v>0</v>
      </c>
      <c r="AK55" t="str">
        <f t="shared" si="3"/>
        <v>Not Pakistan</v>
      </c>
      <c r="AL55" t="str">
        <f t="shared" si="4"/>
        <v>Not Pakistan</v>
      </c>
      <c r="AN55">
        <f t="shared" si="5"/>
        <v>26</v>
      </c>
      <c r="AX55">
        <f t="shared" si="6"/>
        <v>20.142857142857142</v>
      </c>
      <c r="BL55">
        <v>386</v>
      </c>
    </row>
    <row r="56" spans="1:64" x14ac:dyDescent="0.35">
      <c r="A56" t="s">
        <v>235</v>
      </c>
      <c r="B56" t="s">
        <v>236</v>
      </c>
      <c r="C56" t="s">
        <v>58</v>
      </c>
      <c r="D56" t="s">
        <v>91</v>
      </c>
      <c r="E56" t="s">
        <v>69</v>
      </c>
      <c r="F56" t="s">
        <v>237</v>
      </c>
      <c r="G56" t="s">
        <v>91</v>
      </c>
      <c r="H56" t="s">
        <v>71</v>
      </c>
      <c r="I56">
        <v>176</v>
      </c>
      <c r="J56">
        <v>7</v>
      </c>
      <c r="K56">
        <v>169</v>
      </c>
      <c r="L56">
        <v>8</v>
      </c>
      <c r="M56" t="s">
        <v>91</v>
      </c>
      <c r="N56" t="s">
        <v>45</v>
      </c>
      <c r="O56" t="s">
        <v>76</v>
      </c>
      <c r="P56">
        <v>7</v>
      </c>
      <c r="Q56" t="s">
        <v>238</v>
      </c>
      <c r="R56">
        <v>76</v>
      </c>
      <c r="S56" t="s">
        <v>216</v>
      </c>
      <c r="T56">
        <v>3</v>
      </c>
      <c r="U56">
        <v>20</v>
      </c>
      <c r="V56" t="s">
        <v>238</v>
      </c>
      <c r="X56">
        <f t="shared" si="0"/>
        <v>345</v>
      </c>
      <c r="AD56" t="b">
        <f t="shared" si="1"/>
        <v>0</v>
      </c>
      <c r="AG56" t="b">
        <f t="shared" si="2"/>
        <v>0</v>
      </c>
      <c r="AK56" t="str">
        <f t="shared" si="3"/>
        <v>Not Pakistan</v>
      </c>
      <c r="AL56" t="str">
        <f t="shared" si="4"/>
        <v>Not Pakistan</v>
      </c>
      <c r="AN56">
        <f t="shared" si="5"/>
        <v>37</v>
      </c>
      <c r="BL56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 Mens T20 Worldcup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REHAN RIAZ</dc:creator>
  <cp:lastModifiedBy>MUHAMMAD REHAN RIAZ</cp:lastModifiedBy>
  <dcterms:created xsi:type="dcterms:W3CDTF">2026-02-18T16:56:50Z</dcterms:created>
  <dcterms:modified xsi:type="dcterms:W3CDTF">2026-05-16T12:47:36Z</dcterms:modified>
</cp:coreProperties>
</file>